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947" documentId="11_E60897F41BE170836B02CE998F75CCDC64E183C8" xr6:coauthVersionLast="47" xr6:coauthVersionMax="47" xr10:uidLastSave="{FAEBD673-C63D-4772-B55D-5B8632E470BB}"/>
  <bookViews>
    <workbookView xWindow="240" yWindow="105" windowWidth="14805" windowHeight="8010" firstSheet="6" activeTab="6" xr2:uid="{00000000-000D-0000-FFFF-FFFF00000000}"/>
  </bookViews>
  <sheets>
    <sheet name="Δεδομένα" sheetId="1" r:id="rId1"/>
    <sheet name="Κανονικοποίηση" sheetId="2" r:id="rId2"/>
    <sheet name="Σταθμισμένο Άθροισμα" sheetId="3" r:id="rId3"/>
    <sheet name="Σύγκριση &amp; Αποτελέσματα" sheetId="7" r:id="rId4"/>
    <sheet name="Βάρη" sheetId="4" r:id="rId5"/>
    <sheet name="Σύνοψη" sheetId="5" r:id="rId6"/>
    <sheet name="TOPSIS" sheetId="6" r:id="rId7"/>
    <sheet name="AHP" sheetId="8" r:id="rId8"/>
    <sheet name="PROMETHEE" sheetId="9" r:id="rId9"/>
    <sheet name="ELECTRE" sheetId="10" r:id="rId10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 a="1"/>
  <c r="C5" i="3"/>
  <c r="D5" i="3" a="1"/>
  <c r="D5" i="3"/>
  <c r="E6" i="3" a="1"/>
  <c r="E6" i="3"/>
  <c r="E3" i="3" a="1"/>
  <c r="E3" i="3"/>
  <c r="E4" i="3" a="1"/>
  <c r="E4" i="3"/>
  <c r="E5" i="3" a="1"/>
  <c r="E5" i="3"/>
  <c r="E7" i="3" a="1"/>
  <c r="E7" i="3"/>
  <c r="E8" i="3" a="1"/>
  <c r="E8" i="3"/>
  <c r="E2" i="3" a="1"/>
  <c r="E2" i="3"/>
  <c r="C4" i="3" a="1"/>
  <c r="C4" i="3"/>
  <c r="I8" i="6"/>
  <c r="D82" i="9"/>
  <c r="B2" i="3" a="1"/>
  <c r="B2" i="3"/>
  <c r="D3" i="3" a="1"/>
  <c r="D3" i="3"/>
  <c r="D4" i="3" a="1"/>
  <c r="D4" i="3"/>
  <c r="D6" i="3" a="1"/>
  <c r="D6" i="3"/>
  <c r="D7" i="3" a="1"/>
  <c r="D7" i="3"/>
  <c r="D8" i="3" a="1"/>
  <c r="D8" i="3"/>
  <c r="C3" i="3" a="1"/>
  <c r="C3" i="3"/>
  <c r="C6" i="3" a="1"/>
  <c r="C6" i="3"/>
  <c r="C7" i="3" a="1"/>
  <c r="C7" i="3"/>
  <c r="C8" i="3" a="1"/>
  <c r="C8" i="3"/>
  <c r="B3" i="3" a="1"/>
  <c r="B3" i="3"/>
  <c r="B4" i="3" a="1"/>
  <c r="B4" i="3"/>
  <c r="B5" i="3" a="1"/>
  <c r="B5" i="3"/>
  <c r="B6" i="3" a="1"/>
  <c r="B6" i="3"/>
  <c r="B7" i="3" a="1"/>
  <c r="B7" i="3"/>
  <c r="B8" i="3" a="1"/>
  <c r="B8" i="3"/>
  <c r="D2" i="3" a="1"/>
  <c r="D2" i="3"/>
  <c r="C2" i="3" a="1"/>
  <c r="C2" i="3"/>
  <c r="Q5" i="5"/>
  <c r="T3" i="5"/>
  <c r="T4" i="5"/>
  <c r="T5" i="5"/>
  <c r="T6" i="5"/>
  <c r="T7" i="5"/>
  <c r="T8" i="5"/>
  <c r="T9" i="5"/>
  <c r="S3" i="5"/>
  <c r="S4" i="5"/>
  <c r="S5" i="5"/>
  <c r="S6" i="5"/>
  <c r="S7" i="5"/>
  <c r="S8" i="5"/>
  <c r="S9" i="5"/>
  <c r="R3" i="5"/>
  <c r="R4" i="5"/>
  <c r="R5" i="5"/>
  <c r="R6" i="5"/>
  <c r="R7" i="5"/>
  <c r="R8" i="5"/>
  <c r="R9" i="5"/>
  <c r="H62" i="10"/>
  <c r="H63" i="10"/>
  <c r="B82" i="10"/>
  <c r="B83" i="10"/>
  <c r="B63" i="10"/>
  <c r="B62" i="10"/>
  <c r="B73" i="10"/>
  <c r="B72" i="10"/>
  <c r="C55" i="10" a="1"/>
  <c r="C55" i="10" s="1"/>
  <c r="L29" i="10" a="1"/>
  <c r="L29" i="10"/>
  <c r="K29" i="10" a="1"/>
  <c r="K29" i="10"/>
  <c r="J29" i="10" a="1"/>
  <c r="J29" i="10"/>
  <c r="I29" i="10" a="1"/>
  <c r="I29" i="10"/>
  <c r="H29" i="10" a="1"/>
  <c r="H29" i="10"/>
  <c r="G29" i="10" a="1"/>
  <c r="G29" i="10"/>
  <c r="F29" i="10" a="1"/>
  <c r="F29" i="10"/>
  <c r="E29" i="10" a="1"/>
  <c r="E29" i="10"/>
  <c r="D29" i="10" a="1"/>
  <c r="D29" i="10"/>
  <c r="C29" i="10" a="1"/>
  <c r="C29" i="10"/>
  <c r="L28" i="10" a="1"/>
  <c r="L28" i="10"/>
  <c r="K28" i="10" a="1"/>
  <c r="K28" i="10"/>
  <c r="J28" i="10" a="1"/>
  <c r="J28" i="10"/>
  <c r="I28" i="10" a="1"/>
  <c r="I28" i="10"/>
  <c r="H28" i="10" a="1"/>
  <c r="H28" i="10"/>
  <c r="G28" i="10" a="1"/>
  <c r="G28" i="10"/>
  <c r="F28" i="10" a="1"/>
  <c r="F28" i="10"/>
  <c r="E28" i="10" a="1"/>
  <c r="E28" i="10"/>
  <c r="D28" i="10" a="1"/>
  <c r="D28" i="10"/>
  <c r="C28" i="10" a="1"/>
  <c r="C28" i="10"/>
  <c r="L27" i="10" a="1"/>
  <c r="L27" i="10"/>
  <c r="K27" i="10" a="1"/>
  <c r="K27" i="10"/>
  <c r="J27" i="10" a="1"/>
  <c r="J27" i="10"/>
  <c r="I27" i="10" a="1"/>
  <c r="I27" i="10"/>
  <c r="H27" i="10" a="1"/>
  <c r="H27" i="10"/>
  <c r="G27" i="10" a="1"/>
  <c r="G27" i="10"/>
  <c r="F27" i="10" a="1"/>
  <c r="F27" i="10"/>
  <c r="E27" i="10" a="1"/>
  <c r="E27" i="10"/>
  <c r="D27" i="10" a="1"/>
  <c r="D27" i="10"/>
  <c r="C27" i="10" a="1"/>
  <c r="C27" i="10"/>
  <c r="L26" i="10" a="1"/>
  <c r="L26" i="10"/>
  <c r="K26" i="10" a="1"/>
  <c r="K26" i="10"/>
  <c r="J26" i="10" a="1"/>
  <c r="J26" i="10"/>
  <c r="I26" i="10" a="1"/>
  <c r="I26" i="10"/>
  <c r="H26" i="10" a="1"/>
  <c r="H26" i="10"/>
  <c r="G26" i="10" a="1"/>
  <c r="G26" i="10"/>
  <c r="F26" i="10" a="1"/>
  <c r="F26" i="10"/>
  <c r="E26" i="10" a="1"/>
  <c r="E26" i="10"/>
  <c r="D26" i="10" a="1"/>
  <c r="D26" i="10"/>
  <c r="C26" i="10" a="1"/>
  <c r="C26" i="10"/>
  <c r="L25" i="10" a="1"/>
  <c r="L25" i="10"/>
  <c r="K25" i="10" a="1"/>
  <c r="K25" i="10"/>
  <c r="J25" i="10" a="1"/>
  <c r="J25" i="10"/>
  <c r="I25" i="10" a="1"/>
  <c r="I25" i="10"/>
  <c r="H25" i="10" a="1"/>
  <c r="H25" i="10"/>
  <c r="G25" i="10" a="1"/>
  <c r="G25" i="10"/>
  <c r="F25" i="10" a="1"/>
  <c r="F25" i="10"/>
  <c r="E25" i="10" a="1"/>
  <c r="E25" i="10"/>
  <c r="D25" i="10" a="1"/>
  <c r="D25" i="10"/>
  <c r="C25" i="10" a="1"/>
  <c r="C25" i="10"/>
  <c r="L24" i="10" a="1"/>
  <c r="L24" i="10"/>
  <c r="K24" i="10" a="1"/>
  <c r="K24" i="10"/>
  <c r="J24" i="10" a="1"/>
  <c r="J24" i="10"/>
  <c r="I24" i="10" a="1"/>
  <c r="I24" i="10"/>
  <c r="H24" i="10" a="1"/>
  <c r="H24" i="10"/>
  <c r="G24" i="10" a="1"/>
  <c r="G24" i="10"/>
  <c r="F24" i="10" a="1"/>
  <c r="F24" i="10"/>
  <c r="E24" i="10" a="1"/>
  <c r="E24" i="10"/>
  <c r="D24" i="10" a="1"/>
  <c r="D24" i="10"/>
  <c r="C24" i="10" a="1"/>
  <c r="C24" i="10"/>
  <c r="L23" i="10" a="1"/>
  <c r="L23" i="10"/>
  <c r="K23" i="10" a="1"/>
  <c r="K23" i="10"/>
  <c r="J23" i="10" a="1"/>
  <c r="J23" i="10"/>
  <c r="I23" i="10" a="1"/>
  <c r="I23" i="10"/>
  <c r="H23" i="10" a="1"/>
  <c r="H23" i="10"/>
  <c r="G23" i="10" a="1"/>
  <c r="G23" i="10"/>
  <c r="F23" i="10" a="1"/>
  <c r="F23" i="10"/>
  <c r="E23" i="10" a="1"/>
  <c r="E23" i="10"/>
  <c r="D23" i="10" a="1"/>
  <c r="D23" i="10"/>
  <c r="C23" i="10" a="1"/>
  <c r="C23" i="10"/>
  <c r="L22" i="10" a="1"/>
  <c r="L22" i="10"/>
  <c r="K22" i="10" a="1"/>
  <c r="K22" i="10"/>
  <c r="J22" i="10" a="1"/>
  <c r="J22" i="10"/>
  <c r="I22" i="10" a="1"/>
  <c r="I22" i="10"/>
  <c r="H22" i="10" a="1"/>
  <c r="H22" i="10"/>
  <c r="G22" i="10" a="1"/>
  <c r="G22" i="10"/>
  <c r="F22" i="10" a="1"/>
  <c r="F22" i="10"/>
  <c r="E22" i="10" a="1"/>
  <c r="E22" i="10"/>
  <c r="D22" i="10" a="1"/>
  <c r="D22" i="10"/>
  <c r="C22" i="10" a="1"/>
  <c r="C22" i="10"/>
  <c r="L21" i="10" a="1"/>
  <c r="L21" i="10"/>
  <c r="K21" i="10" a="1"/>
  <c r="K21" i="10"/>
  <c r="J21" i="10" a="1"/>
  <c r="J21" i="10"/>
  <c r="I21" i="10" a="1"/>
  <c r="I21" i="10"/>
  <c r="H21" i="10" a="1"/>
  <c r="H21" i="10"/>
  <c r="G21" i="10" a="1"/>
  <c r="G21" i="10"/>
  <c r="F21" i="10" a="1"/>
  <c r="F21" i="10"/>
  <c r="E21" i="10" a="1"/>
  <c r="E21" i="10"/>
  <c r="D21" i="10" a="1"/>
  <c r="D21" i="10"/>
  <c r="C21" i="10" a="1"/>
  <c r="C21" i="10"/>
  <c r="L20" i="10" a="1"/>
  <c r="L20" i="10"/>
  <c r="K20" i="10" a="1"/>
  <c r="K20" i="10"/>
  <c r="J20" i="10" a="1"/>
  <c r="J20" i="10"/>
  <c r="I20" i="10" a="1"/>
  <c r="I20" i="10"/>
  <c r="H20" i="10" a="1"/>
  <c r="H20" i="10"/>
  <c r="G20" i="10" a="1"/>
  <c r="G20" i="10"/>
  <c r="F20" i="10" a="1"/>
  <c r="F20" i="10"/>
  <c r="E20" i="10" a="1"/>
  <c r="E20" i="10"/>
  <c r="D20" i="10" a="1"/>
  <c r="D20" i="10"/>
  <c r="C20" i="10" a="1"/>
  <c r="C20" i="10"/>
  <c r="L19" i="10" a="1"/>
  <c r="L19" i="10"/>
  <c r="K19" i="10" a="1"/>
  <c r="K19" i="10"/>
  <c r="J19" i="10" a="1"/>
  <c r="J19" i="10"/>
  <c r="I19" i="10" a="1"/>
  <c r="I19" i="10"/>
  <c r="H19" i="10" a="1"/>
  <c r="H19" i="10"/>
  <c r="G19" i="10" a="1"/>
  <c r="G19" i="10"/>
  <c r="F19" i="10" a="1"/>
  <c r="F19" i="10"/>
  <c r="E19" i="10" a="1"/>
  <c r="E19" i="10"/>
  <c r="D19" i="10" a="1"/>
  <c r="D19" i="10"/>
  <c r="C19" i="10" a="1"/>
  <c r="C19" i="10"/>
  <c r="L18" i="10" a="1"/>
  <c r="L18" i="10"/>
  <c r="K18" i="10" a="1"/>
  <c r="K18" i="10"/>
  <c r="J18" i="10" a="1"/>
  <c r="J18" i="10"/>
  <c r="I18" i="10" a="1"/>
  <c r="I18" i="10"/>
  <c r="H18" i="10" a="1"/>
  <c r="H18" i="10"/>
  <c r="G18" i="10" a="1"/>
  <c r="G18" i="10"/>
  <c r="F18" i="10" a="1"/>
  <c r="F18" i="10"/>
  <c r="E18" i="10" a="1"/>
  <c r="E18" i="10"/>
  <c r="D18" i="10" a="1"/>
  <c r="D18" i="10"/>
  <c r="C18" i="10" a="1"/>
  <c r="C18" i="10"/>
  <c r="L17" i="10" a="1"/>
  <c r="L17" i="10"/>
  <c r="K17" i="10" a="1"/>
  <c r="K17" i="10"/>
  <c r="J17" i="10" a="1"/>
  <c r="J17" i="10"/>
  <c r="I17" i="10" a="1"/>
  <c r="I17" i="10"/>
  <c r="H17" i="10" a="1"/>
  <c r="H17" i="10"/>
  <c r="G17" i="10" a="1"/>
  <c r="G17" i="10"/>
  <c r="F17" i="10" a="1"/>
  <c r="F17" i="10"/>
  <c r="E17" i="10" a="1"/>
  <c r="E17" i="10"/>
  <c r="D17" i="10" a="1"/>
  <c r="D17" i="10"/>
  <c r="C17" i="10" a="1"/>
  <c r="C17" i="10"/>
  <c r="L16" i="10" a="1"/>
  <c r="L16" i="10"/>
  <c r="K16" i="10" a="1"/>
  <c r="K16" i="10"/>
  <c r="J16" i="10" a="1"/>
  <c r="J16" i="10"/>
  <c r="I16" i="10" a="1"/>
  <c r="I16" i="10"/>
  <c r="H16" i="10" a="1"/>
  <c r="H16" i="10"/>
  <c r="G16" i="10" a="1"/>
  <c r="G16" i="10"/>
  <c r="F16" i="10" a="1"/>
  <c r="F16" i="10"/>
  <c r="E16" i="10" a="1"/>
  <c r="E16" i="10"/>
  <c r="D16" i="10" a="1"/>
  <c r="D16" i="10"/>
  <c r="C16" i="10" a="1"/>
  <c r="C16" i="10"/>
  <c r="M17" i="10" a="1"/>
  <c r="M17" i="10"/>
  <c r="M18" i="10" a="1"/>
  <c r="M18" i="10"/>
  <c r="M20" i="10" a="1"/>
  <c r="M20" i="10"/>
  <c r="M21" i="10" a="1"/>
  <c r="M21" i="10"/>
  <c r="M22" i="10" a="1"/>
  <c r="M22" i="10"/>
  <c r="M23" i="10" a="1"/>
  <c r="M23" i="10"/>
  <c r="M24" i="10" a="1"/>
  <c r="M24" i="10"/>
  <c r="M25" i="10" a="1"/>
  <c r="M25" i="10"/>
  <c r="M26" i="10" a="1"/>
  <c r="M26" i="10"/>
  <c r="M27" i="10" a="1"/>
  <c r="M27" i="10"/>
  <c r="M28" i="10" a="1"/>
  <c r="M28" i="10"/>
  <c r="M29" i="10" a="1"/>
  <c r="M29" i="10"/>
  <c r="J3" i="5"/>
  <c r="E17" i="9"/>
  <c r="F17" i="9"/>
  <c r="G17" i="9"/>
  <c r="H17" i="9"/>
  <c r="I17" i="9"/>
  <c r="J17" i="9"/>
  <c r="K17" i="9"/>
  <c r="L17" i="9"/>
  <c r="E18" i="9"/>
  <c r="F18" i="9"/>
  <c r="G18" i="9"/>
  <c r="H18" i="9"/>
  <c r="I18" i="9"/>
  <c r="J18" i="9"/>
  <c r="K18" i="9"/>
  <c r="L18" i="9"/>
  <c r="E19" i="9"/>
  <c r="F19" i="9"/>
  <c r="G19" i="9"/>
  <c r="H19" i="9"/>
  <c r="I19" i="9"/>
  <c r="J19" i="9"/>
  <c r="K19" i="9"/>
  <c r="L19" i="9"/>
  <c r="E20" i="9"/>
  <c r="F20" i="9"/>
  <c r="G20" i="9"/>
  <c r="H20" i="9"/>
  <c r="I20" i="9"/>
  <c r="J20" i="9"/>
  <c r="K20" i="9"/>
  <c r="L20" i="9"/>
  <c r="E21" i="9"/>
  <c r="F21" i="9"/>
  <c r="G21" i="9"/>
  <c r="H21" i="9"/>
  <c r="I21" i="9"/>
  <c r="J21" i="9"/>
  <c r="K21" i="9"/>
  <c r="L21" i="9"/>
  <c r="E22" i="9"/>
  <c r="F22" i="9"/>
  <c r="G22" i="9"/>
  <c r="H22" i="9"/>
  <c r="I22" i="9"/>
  <c r="J22" i="9"/>
  <c r="K22" i="9"/>
  <c r="L22" i="9"/>
  <c r="E23" i="9"/>
  <c r="F23" i="9"/>
  <c r="G23" i="9"/>
  <c r="H23" i="9"/>
  <c r="I23" i="9"/>
  <c r="J23" i="9"/>
  <c r="K23" i="9"/>
  <c r="L23" i="9"/>
  <c r="E24" i="9"/>
  <c r="F24" i="9"/>
  <c r="G24" i="9"/>
  <c r="H24" i="9"/>
  <c r="I24" i="9"/>
  <c r="J24" i="9"/>
  <c r="K24" i="9"/>
  <c r="L24" i="9"/>
  <c r="E25" i="9"/>
  <c r="F25" i="9"/>
  <c r="G25" i="9"/>
  <c r="H25" i="9"/>
  <c r="I25" i="9"/>
  <c r="J25" i="9"/>
  <c r="K25" i="9"/>
  <c r="L25" i="9"/>
  <c r="E26" i="9"/>
  <c r="F26" i="9"/>
  <c r="G26" i="9"/>
  <c r="H26" i="9"/>
  <c r="I26" i="9"/>
  <c r="J26" i="9"/>
  <c r="K26" i="9"/>
  <c r="L26" i="9"/>
  <c r="E27" i="9"/>
  <c r="F27" i="9"/>
  <c r="G27" i="9"/>
  <c r="H27" i="9"/>
  <c r="I27" i="9"/>
  <c r="J27" i="9"/>
  <c r="K27" i="9"/>
  <c r="L27" i="9"/>
  <c r="E28" i="9"/>
  <c r="F28" i="9"/>
  <c r="G28" i="9"/>
  <c r="H28" i="9"/>
  <c r="I28" i="9"/>
  <c r="J28" i="9"/>
  <c r="K28" i="9"/>
  <c r="L28" i="9"/>
  <c r="E29" i="9"/>
  <c r="F29" i="9"/>
  <c r="G29" i="9"/>
  <c r="H29" i="9"/>
  <c r="I29" i="9"/>
  <c r="J29" i="9"/>
  <c r="K29" i="9"/>
  <c r="L29" i="9"/>
  <c r="E30" i="9"/>
  <c r="F30" i="9"/>
  <c r="G30" i="9"/>
  <c r="H30" i="9"/>
  <c r="I30" i="9"/>
  <c r="J30" i="9"/>
  <c r="K30" i="9"/>
  <c r="L30" i="9"/>
  <c r="E31" i="9"/>
  <c r="F31" i="9"/>
  <c r="G31" i="9"/>
  <c r="H31" i="9"/>
  <c r="I31" i="9"/>
  <c r="J31" i="9"/>
  <c r="K31" i="9"/>
  <c r="L31" i="9"/>
  <c r="E32" i="9"/>
  <c r="F32" i="9"/>
  <c r="G32" i="9"/>
  <c r="H32" i="9"/>
  <c r="I32" i="9"/>
  <c r="J32" i="9"/>
  <c r="K32" i="9"/>
  <c r="L32" i="9"/>
  <c r="E33" i="9"/>
  <c r="F33" i="9"/>
  <c r="G33" i="9"/>
  <c r="H33" i="9"/>
  <c r="I33" i="9"/>
  <c r="J33" i="9"/>
  <c r="K33" i="9"/>
  <c r="L33" i="9"/>
  <c r="E34" i="9"/>
  <c r="F34" i="9"/>
  <c r="G34" i="9"/>
  <c r="H34" i="9"/>
  <c r="I34" i="9"/>
  <c r="J34" i="9"/>
  <c r="K34" i="9"/>
  <c r="L34" i="9"/>
  <c r="E35" i="9"/>
  <c r="F35" i="9"/>
  <c r="G35" i="9"/>
  <c r="H35" i="9"/>
  <c r="I35" i="9"/>
  <c r="J35" i="9"/>
  <c r="K35" i="9"/>
  <c r="L35" i="9"/>
  <c r="E36" i="9"/>
  <c r="F36" i="9"/>
  <c r="G36" i="9"/>
  <c r="H36" i="9"/>
  <c r="I36" i="9"/>
  <c r="J36" i="9"/>
  <c r="K36" i="9"/>
  <c r="L36" i="9"/>
  <c r="E37" i="9"/>
  <c r="F37" i="9"/>
  <c r="G37" i="9"/>
  <c r="H37" i="9"/>
  <c r="I37" i="9"/>
  <c r="J37" i="9"/>
  <c r="K37" i="9"/>
  <c r="L37" i="9"/>
  <c r="E38" i="9"/>
  <c r="F38" i="9"/>
  <c r="G38" i="9"/>
  <c r="H38" i="9"/>
  <c r="I38" i="9"/>
  <c r="J38" i="9"/>
  <c r="K38" i="9"/>
  <c r="L38" i="9"/>
  <c r="E39" i="9"/>
  <c r="F39" i="9"/>
  <c r="G39" i="9"/>
  <c r="H39" i="9"/>
  <c r="I39" i="9"/>
  <c r="J39" i="9"/>
  <c r="K39" i="9"/>
  <c r="L39" i="9"/>
  <c r="E40" i="9"/>
  <c r="F40" i="9"/>
  <c r="G40" i="9"/>
  <c r="H40" i="9"/>
  <c r="I40" i="9"/>
  <c r="J40" i="9"/>
  <c r="K40" i="9"/>
  <c r="L40" i="9"/>
  <c r="E41" i="9"/>
  <c r="F41" i="9"/>
  <c r="G41" i="9"/>
  <c r="H41" i="9"/>
  <c r="I41" i="9"/>
  <c r="J41" i="9"/>
  <c r="K41" i="9"/>
  <c r="L41" i="9"/>
  <c r="E42" i="9"/>
  <c r="F42" i="9"/>
  <c r="G42" i="9"/>
  <c r="H42" i="9"/>
  <c r="I42" i="9"/>
  <c r="J42" i="9"/>
  <c r="K42" i="9"/>
  <c r="L42" i="9"/>
  <c r="E43" i="9"/>
  <c r="F43" i="9"/>
  <c r="G43" i="9"/>
  <c r="H43" i="9"/>
  <c r="I43" i="9"/>
  <c r="J43" i="9"/>
  <c r="K43" i="9"/>
  <c r="L43" i="9"/>
  <c r="E44" i="9"/>
  <c r="F44" i="9"/>
  <c r="G44" i="9"/>
  <c r="H44" i="9"/>
  <c r="I44" i="9"/>
  <c r="J44" i="9"/>
  <c r="K44" i="9"/>
  <c r="L44" i="9"/>
  <c r="E45" i="9"/>
  <c r="F45" i="9"/>
  <c r="G45" i="9"/>
  <c r="H45" i="9"/>
  <c r="I45" i="9"/>
  <c r="J45" i="9"/>
  <c r="K45" i="9"/>
  <c r="L45" i="9"/>
  <c r="E46" i="9"/>
  <c r="F46" i="9"/>
  <c r="G46" i="9"/>
  <c r="H46" i="9"/>
  <c r="I46" i="9"/>
  <c r="J46" i="9"/>
  <c r="K46" i="9"/>
  <c r="L46" i="9"/>
  <c r="E47" i="9"/>
  <c r="F47" i="9"/>
  <c r="G47" i="9"/>
  <c r="H47" i="9"/>
  <c r="I47" i="9"/>
  <c r="J47" i="9"/>
  <c r="K47" i="9"/>
  <c r="L47" i="9"/>
  <c r="E48" i="9"/>
  <c r="F48" i="9"/>
  <c r="G48" i="9"/>
  <c r="H48" i="9"/>
  <c r="I48" i="9"/>
  <c r="J48" i="9"/>
  <c r="K48" i="9"/>
  <c r="L48" i="9"/>
  <c r="E49" i="9"/>
  <c r="F49" i="9"/>
  <c r="G49" i="9"/>
  <c r="H49" i="9"/>
  <c r="I49" i="9"/>
  <c r="J49" i="9"/>
  <c r="K49" i="9"/>
  <c r="L49" i="9"/>
  <c r="E50" i="9"/>
  <c r="F50" i="9"/>
  <c r="G50" i="9"/>
  <c r="H50" i="9"/>
  <c r="I50" i="9"/>
  <c r="J50" i="9"/>
  <c r="K50" i="9"/>
  <c r="L50" i="9"/>
  <c r="E51" i="9"/>
  <c r="F51" i="9"/>
  <c r="G51" i="9"/>
  <c r="H51" i="9"/>
  <c r="I51" i="9"/>
  <c r="J51" i="9"/>
  <c r="K51" i="9"/>
  <c r="L51" i="9"/>
  <c r="E52" i="9"/>
  <c r="F52" i="9"/>
  <c r="G52" i="9"/>
  <c r="H52" i="9"/>
  <c r="I52" i="9"/>
  <c r="J52" i="9"/>
  <c r="K52" i="9"/>
  <c r="L52" i="9"/>
  <c r="E53" i="9"/>
  <c r="F53" i="9"/>
  <c r="G53" i="9"/>
  <c r="H53" i="9"/>
  <c r="I53" i="9"/>
  <c r="J53" i="9"/>
  <c r="K53" i="9"/>
  <c r="L53" i="9"/>
  <c r="E54" i="9"/>
  <c r="F54" i="9"/>
  <c r="G54" i="9"/>
  <c r="H54" i="9"/>
  <c r="I54" i="9"/>
  <c r="J54" i="9"/>
  <c r="K54" i="9"/>
  <c r="L54" i="9"/>
  <c r="E55" i="9"/>
  <c r="F55" i="9"/>
  <c r="G55" i="9"/>
  <c r="H55" i="9"/>
  <c r="I55" i="9"/>
  <c r="J55" i="9"/>
  <c r="K55" i="9"/>
  <c r="L55" i="9"/>
  <c r="E56" i="9"/>
  <c r="F56" i="9"/>
  <c r="G56" i="9"/>
  <c r="H56" i="9"/>
  <c r="I56" i="9"/>
  <c r="J56" i="9"/>
  <c r="K56" i="9"/>
  <c r="L56" i="9"/>
  <c r="E57" i="9"/>
  <c r="F57" i="9"/>
  <c r="G57" i="9"/>
  <c r="H57" i="9"/>
  <c r="I57" i="9"/>
  <c r="J57" i="9"/>
  <c r="K57" i="9"/>
  <c r="L57" i="9"/>
  <c r="L16" i="9"/>
  <c r="K16" i="9"/>
  <c r="J16" i="9"/>
  <c r="I16" i="9"/>
  <c r="H16" i="9"/>
  <c r="G16" i="9"/>
  <c r="F16" i="9"/>
  <c r="E16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17" i="9"/>
  <c r="D18" i="9"/>
  <c r="D19" i="9"/>
  <c r="D20" i="9"/>
  <c r="D21" i="9"/>
  <c r="D22" i="9"/>
  <c r="D23" i="9"/>
  <c r="D24" i="9"/>
  <c r="D25" i="9"/>
  <c r="D26" i="9"/>
  <c r="D27" i="9"/>
  <c r="D16" i="9"/>
  <c r="C17" i="9"/>
  <c r="Q17" i="9" s="1" a="1"/>
  <c r="Q17" i="9" s="1"/>
  <c r="C18" i="9"/>
  <c r="Q18" i="9" s="1" a="1"/>
  <c r="Q18" i="9" s="1"/>
  <c r="C19" i="9"/>
  <c r="Q19" i="9" s="1" a="1"/>
  <c r="Q19" i="9" s="1"/>
  <c r="C20" i="9"/>
  <c r="Q20" i="9" s="1" a="1"/>
  <c r="Q20" i="9" s="1"/>
  <c r="C21" i="9"/>
  <c r="Q21" i="9" s="1" a="1"/>
  <c r="Q21" i="9" s="1"/>
  <c r="C22" i="9"/>
  <c r="Q22" i="9" s="1" a="1"/>
  <c r="Q22" i="9" s="1"/>
  <c r="C23" i="9"/>
  <c r="Q23" i="9" s="1" a="1"/>
  <c r="Q23" i="9" s="1"/>
  <c r="C24" i="9"/>
  <c r="Q24" i="9" s="1" a="1"/>
  <c r="Q24" i="9" s="1"/>
  <c r="C25" i="9"/>
  <c r="Q25" i="9" s="1" a="1"/>
  <c r="Q25" i="9" s="1"/>
  <c r="C26" i="9"/>
  <c r="Q26" i="9" s="1" a="1"/>
  <c r="Q26" i="9" s="1"/>
  <c r="C27" i="9"/>
  <c r="Q27" i="9" s="1" a="1"/>
  <c r="Q27" i="9" s="1"/>
  <c r="C28" i="9"/>
  <c r="Q28" i="9" s="1" a="1"/>
  <c r="Q28" i="9" s="1"/>
  <c r="C29" i="9"/>
  <c r="Q29" i="9" s="1" a="1"/>
  <c r="Q29" i="9" s="1"/>
  <c r="C30" i="9"/>
  <c r="Q30" i="9" s="1" a="1"/>
  <c r="Q30" i="9" s="1"/>
  <c r="C31" i="9"/>
  <c r="Q31" i="9" s="1" a="1"/>
  <c r="Q31" i="9" s="1"/>
  <c r="C32" i="9"/>
  <c r="Q32" i="9" s="1" a="1"/>
  <c r="Q32" i="9" s="1"/>
  <c r="C33" i="9"/>
  <c r="Q33" i="9" s="1" a="1"/>
  <c r="Q33" i="9" s="1"/>
  <c r="C34" i="9"/>
  <c r="Q34" i="9" s="1" a="1"/>
  <c r="Q34" i="9" s="1"/>
  <c r="C35" i="9"/>
  <c r="Q35" i="9" s="1" a="1"/>
  <c r="Q35" i="9" s="1"/>
  <c r="C36" i="9"/>
  <c r="Q36" i="9" s="1" a="1"/>
  <c r="Q36" i="9" s="1"/>
  <c r="C37" i="9"/>
  <c r="Q37" i="9" s="1" a="1"/>
  <c r="Q37" i="9" s="1"/>
  <c r="C38" i="9"/>
  <c r="Q38" i="9" s="1" a="1"/>
  <c r="Q38" i="9" s="1"/>
  <c r="C39" i="9"/>
  <c r="Q39" i="9" s="1" a="1"/>
  <c r="Q39" i="9" s="1"/>
  <c r="C40" i="9"/>
  <c r="Q40" i="9" s="1" a="1"/>
  <c r="Q40" i="9" s="1"/>
  <c r="C41" i="9"/>
  <c r="Q41" i="9" s="1" a="1"/>
  <c r="Q41" i="9" s="1"/>
  <c r="C42" i="9"/>
  <c r="Q42" i="9" s="1" a="1"/>
  <c r="Q42" i="9" s="1"/>
  <c r="C43" i="9"/>
  <c r="Q43" i="9" s="1" a="1"/>
  <c r="Q43" i="9" s="1"/>
  <c r="C44" i="9"/>
  <c r="Q44" i="9" s="1" a="1"/>
  <c r="Q44" i="9" s="1"/>
  <c r="C45" i="9"/>
  <c r="Q45" i="9" s="1" a="1"/>
  <c r="Q45" i="9" s="1"/>
  <c r="C46" i="9"/>
  <c r="Q46" i="9" s="1" a="1"/>
  <c r="Q46" i="9" s="1"/>
  <c r="C47" i="9"/>
  <c r="Q47" i="9" s="1" a="1"/>
  <c r="Q47" i="9" s="1"/>
  <c r="C48" i="9"/>
  <c r="Q48" i="9" s="1" a="1"/>
  <c r="Q48" i="9" s="1"/>
  <c r="C49" i="9"/>
  <c r="Q49" i="9" s="1" a="1"/>
  <c r="Q49" i="9" s="1"/>
  <c r="C50" i="9"/>
  <c r="Q50" i="9" s="1" a="1"/>
  <c r="Q50" i="9" s="1"/>
  <c r="C51" i="9"/>
  <c r="Q51" i="9" s="1" a="1"/>
  <c r="Q51" i="9" s="1"/>
  <c r="C52" i="9"/>
  <c r="Q52" i="9" s="1" a="1"/>
  <c r="Q52" i="9" s="1"/>
  <c r="C53" i="9"/>
  <c r="Q53" i="9" s="1" a="1"/>
  <c r="Q53" i="9" s="1"/>
  <c r="C54" i="9"/>
  <c r="Q54" i="9" s="1" a="1"/>
  <c r="Q54" i="9" s="1"/>
  <c r="C55" i="9"/>
  <c r="Q55" i="9" s="1" a="1"/>
  <c r="Q55" i="9" s="1"/>
  <c r="C56" i="9"/>
  <c r="Q56" i="9" s="1" a="1"/>
  <c r="Q56" i="9" s="1"/>
  <c r="C57" i="9"/>
  <c r="Q57" i="9" s="1" a="1"/>
  <c r="Q57" i="9" s="1"/>
  <c r="C16" i="9"/>
  <c r="K4" i="5"/>
  <c r="K5" i="5"/>
  <c r="K6" i="5"/>
  <c r="K7" i="5"/>
  <c r="K8" i="5"/>
  <c r="K9" i="5"/>
  <c r="K3" i="5"/>
  <c r="B248" i="8"/>
  <c r="B249" i="8"/>
  <c r="B250" i="8"/>
  <c r="B251" i="8"/>
  <c r="B252" i="8"/>
  <c r="B253" i="8"/>
  <c r="B247" i="8"/>
  <c r="B227" i="8"/>
  <c r="C227" i="8"/>
  <c r="D227" i="8"/>
  <c r="E227" i="8"/>
  <c r="F227" i="8"/>
  <c r="G227" i="8"/>
  <c r="H227" i="8"/>
  <c r="B228" i="8"/>
  <c r="C228" i="8"/>
  <c r="D228" i="8"/>
  <c r="E228" i="8"/>
  <c r="F228" i="8"/>
  <c r="G228" i="8"/>
  <c r="H228" i="8"/>
  <c r="B229" i="8"/>
  <c r="C229" i="8"/>
  <c r="D229" i="8"/>
  <c r="E229" i="8"/>
  <c r="F229" i="8"/>
  <c r="G229" i="8"/>
  <c r="H229" i="8"/>
  <c r="B230" i="8"/>
  <c r="C230" i="8"/>
  <c r="D230" i="8"/>
  <c r="E230" i="8"/>
  <c r="F230" i="8"/>
  <c r="G230" i="8"/>
  <c r="H230" i="8"/>
  <c r="B231" i="8"/>
  <c r="C231" i="8"/>
  <c r="D231" i="8"/>
  <c r="E231" i="8"/>
  <c r="F231" i="8"/>
  <c r="G231" i="8"/>
  <c r="H231" i="8"/>
  <c r="B232" i="8"/>
  <c r="C232" i="8"/>
  <c r="D232" i="8"/>
  <c r="E232" i="8"/>
  <c r="F232" i="8"/>
  <c r="G232" i="8"/>
  <c r="H232" i="8"/>
  <c r="C226" i="8"/>
  <c r="D226" i="8"/>
  <c r="E226" i="8"/>
  <c r="F226" i="8"/>
  <c r="G226" i="8"/>
  <c r="H226" i="8"/>
  <c r="B226" i="8"/>
  <c r="B206" i="8"/>
  <c r="C206" i="8"/>
  <c r="D206" i="8"/>
  <c r="E206" i="8"/>
  <c r="F206" i="8"/>
  <c r="G206" i="8"/>
  <c r="H206" i="8"/>
  <c r="B207" i="8"/>
  <c r="C207" i="8"/>
  <c r="D207" i="8"/>
  <c r="E207" i="8"/>
  <c r="F207" i="8"/>
  <c r="G207" i="8"/>
  <c r="H207" i="8"/>
  <c r="B208" i="8"/>
  <c r="C208" i="8"/>
  <c r="D208" i="8"/>
  <c r="E208" i="8"/>
  <c r="F208" i="8"/>
  <c r="G208" i="8"/>
  <c r="H208" i="8"/>
  <c r="B209" i="8"/>
  <c r="C209" i="8"/>
  <c r="D209" i="8"/>
  <c r="E209" i="8"/>
  <c r="F209" i="8"/>
  <c r="G209" i="8"/>
  <c r="H209" i="8"/>
  <c r="B210" i="8"/>
  <c r="C210" i="8"/>
  <c r="D210" i="8"/>
  <c r="E210" i="8"/>
  <c r="F210" i="8"/>
  <c r="G210" i="8"/>
  <c r="H210" i="8"/>
  <c r="B211" i="8"/>
  <c r="C211" i="8"/>
  <c r="D211" i="8"/>
  <c r="E211" i="8"/>
  <c r="F211" i="8"/>
  <c r="G211" i="8"/>
  <c r="H211" i="8"/>
  <c r="C205" i="8"/>
  <c r="D205" i="8"/>
  <c r="E205" i="8"/>
  <c r="F205" i="8"/>
  <c r="G205" i="8"/>
  <c r="H205" i="8"/>
  <c r="B205" i="8"/>
  <c r="B185" i="8"/>
  <c r="C185" i="8"/>
  <c r="D185" i="8"/>
  <c r="E185" i="8"/>
  <c r="F185" i="8"/>
  <c r="G185" i="8"/>
  <c r="H185" i="8"/>
  <c r="B186" i="8"/>
  <c r="C186" i="8"/>
  <c r="D186" i="8"/>
  <c r="E186" i="8"/>
  <c r="F186" i="8"/>
  <c r="G186" i="8"/>
  <c r="H186" i="8"/>
  <c r="B187" i="8"/>
  <c r="C187" i="8"/>
  <c r="D187" i="8"/>
  <c r="E187" i="8"/>
  <c r="F187" i="8"/>
  <c r="G187" i="8"/>
  <c r="H187" i="8"/>
  <c r="B188" i="8"/>
  <c r="C188" i="8"/>
  <c r="D188" i="8"/>
  <c r="E188" i="8"/>
  <c r="F188" i="8"/>
  <c r="G188" i="8"/>
  <c r="H188" i="8"/>
  <c r="B189" i="8"/>
  <c r="C189" i="8"/>
  <c r="D189" i="8"/>
  <c r="E189" i="8"/>
  <c r="F189" i="8"/>
  <c r="G189" i="8"/>
  <c r="H189" i="8"/>
  <c r="B190" i="8"/>
  <c r="C190" i="8"/>
  <c r="D190" i="8"/>
  <c r="E190" i="8"/>
  <c r="F190" i="8"/>
  <c r="G190" i="8"/>
  <c r="H190" i="8"/>
  <c r="C184" i="8"/>
  <c r="D184" i="8"/>
  <c r="E184" i="8"/>
  <c r="F184" i="8"/>
  <c r="G184" i="8"/>
  <c r="H184" i="8"/>
  <c r="B184" i="8"/>
  <c r="B164" i="8"/>
  <c r="C164" i="8"/>
  <c r="D164" i="8"/>
  <c r="E164" i="8"/>
  <c r="F164" i="8"/>
  <c r="G164" i="8"/>
  <c r="H164" i="8"/>
  <c r="B165" i="8"/>
  <c r="C165" i="8"/>
  <c r="D165" i="8"/>
  <c r="E165" i="8"/>
  <c r="F165" i="8"/>
  <c r="G165" i="8"/>
  <c r="H165" i="8"/>
  <c r="B166" i="8"/>
  <c r="C166" i="8"/>
  <c r="D166" i="8"/>
  <c r="E166" i="8"/>
  <c r="F166" i="8"/>
  <c r="G166" i="8"/>
  <c r="H166" i="8"/>
  <c r="B167" i="8"/>
  <c r="C167" i="8"/>
  <c r="D167" i="8"/>
  <c r="E167" i="8"/>
  <c r="F167" i="8"/>
  <c r="G167" i="8"/>
  <c r="H167" i="8"/>
  <c r="B168" i="8"/>
  <c r="C168" i="8"/>
  <c r="D168" i="8"/>
  <c r="E168" i="8"/>
  <c r="F168" i="8"/>
  <c r="G168" i="8"/>
  <c r="H168" i="8"/>
  <c r="B169" i="8"/>
  <c r="C169" i="8"/>
  <c r="D169" i="8"/>
  <c r="E169" i="8"/>
  <c r="F169" i="8"/>
  <c r="G169" i="8"/>
  <c r="H169" i="8"/>
  <c r="C163" i="8"/>
  <c r="D163" i="8"/>
  <c r="E163" i="8"/>
  <c r="F163" i="8"/>
  <c r="G163" i="8"/>
  <c r="H163" i="8"/>
  <c r="B163" i="8"/>
  <c r="B143" i="8"/>
  <c r="C143" i="8"/>
  <c r="D143" i="8"/>
  <c r="E143" i="8"/>
  <c r="F143" i="8"/>
  <c r="G143" i="8"/>
  <c r="H143" i="8"/>
  <c r="B144" i="8"/>
  <c r="C144" i="8"/>
  <c r="D144" i="8"/>
  <c r="E144" i="8"/>
  <c r="F144" i="8"/>
  <c r="G144" i="8"/>
  <c r="H144" i="8"/>
  <c r="B145" i="8"/>
  <c r="C145" i="8"/>
  <c r="D145" i="8"/>
  <c r="E145" i="8"/>
  <c r="F145" i="8"/>
  <c r="G145" i="8"/>
  <c r="H145" i="8"/>
  <c r="B146" i="8"/>
  <c r="C146" i="8"/>
  <c r="D146" i="8"/>
  <c r="E146" i="8"/>
  <c r="F146" i="8"/>
  <c r="G146" i="8"/>
  <c r="H146" i="8"/>
  <c r="B147" i="8"/>
  <c r="C147" i="8"/>
  <c r="D147" i="8"/>
  <c r="E147" i="8"/>
  <c r="F147" i="8"/>
  <c r="G147" i="8"/>
  <c r="H147" i="8"/>
  <c r="B148" i="8"/>
  <c r="C148" i="8"/>
  <c r="D148" i="8"/>
  <c r="E148" i="8"/>
  <c r="F148" i="8"/>
  <c r="G148" i="8"/>
  <c r="H148" i="8"/>
  <c r="C142" i="8"/>
  <c r="D142" i="8"/>
  <c r="E142" i="8"/>
  <c r="F142" i="8"/>
  <c r="G142" i="8"/>
  <c r="H142" i="8"/>
  <c r="B142" i="8"/>
  <c r="B122" i="8"/>
  <c r="C122" i="8"/>
  <c r="D122" i="8"/>
  <c r="E122" i="8"/>
  <c r="F122" i="8"/>
  <c r="G122" i="8"/>
  <c r="H122" i="8"/>
  <c r="B123" i="8"/>
  <c r="C123" i="8"/>
  <c r="D123" i="8"/>
  <c r="E123" i="8"/>
  <c r="F123" i="8"/>
  <c r="G123" i="8"/>
  <c r="H123" i="8"/>
  <c r="B124" i="8"/>
  <c r="C124" i="8"/>
  <c r="D124" i="8"/>
  <c r="E124" i="8"/>
  <c r="F124" i="8"/>
  <c r="G124" i="8"/>
  <c r="H124" i="8"/>
  <c r="B125" i="8"/>
  <c r="C125" i="8"/>
  <c r="D125" i="8"/>
  <c r="E125" i="8"/>
  <c r="F125" i="8"/>
  <c r="G125" i="8"/>
  <c r="H125" i="8"/>
  <c r="B126" i="8"/>
  <c r="C126" i="8"/>
  <c r="D126" i="8"/>
  <c r="E126" i="8"/>
  <c r="F126" i="8"/>
  <c r="G126" i="8"/>
  <c r="H126" i="8"/>
  <c r="B127" i="8"/>
  <c r="C127" i="8"/>
  <c r="D127" i="8"/>
  <c r="E127" i="8"/>
  <c r="F127" i="8"/>
  <c r="G127" i="8"/>
  <c r="H127" i="8"/>
  <c r="C121" i="8"/>
  <c r="D121" i="8"/>
  <c r="E121" i="8"/>
  <c r="F121" i="8"/>
  <c r="G121" i="8"/>
  <c r="H121" i="8"/>
  <c r="B121" i="8"/>
  <c r="B101" i="8"/>
  <c r="C101" i="8"/>
  <c r="D101" i="8"/>
  <c r="E101" i="8"/>
  <c r="F101" i="8"/>
  <c r="G101" i="8"/>
  <c r="H101" i="8"/>
  <c r="B102" i="8"/>
  <c r="C102" i="8"/>
  <c r="D102" i="8"/>
  <c r="E102" i="8"/>
  <c r="F102" i="8"/>
  <c r="G102" i="8"/>
  <c r="H102" i="8"/>
  <c r="B103" i="8"/>
  <c r="C103" i="8"/>
  <c r="D103" i="8"/>
  <c r="E103" i="8"/>
  <c r="F103" i="8"/>
  <c r="G103" i="8"/>
  <c r="H103" i="8"/>
  <c r="B104" i="8"/>
  <c r="C104" i="8"/>
  <c r="D104" i="8"/>
  <c r="E104" i="8"/>
  <c r="F104" i="8"/>
  <c r="G104" i="8"/>
  <c r="H104" i="8"/>
  <c r="B105" i="8"/>
  <c r="C105" i="8"/>
  <c r="D105" i="8"/>
  <c r="E105" i="8"/>
  <c r="F105" i="8"/>
  <c r="G105" i="8"/>
  <c r="H105" i="8"/>
  <c r="B106" i="8"/>
  <c r="C106" i="8"/>
  <c r="D106" i="8"/>
  <c r="E106" i="8"/>
  <c r="F106" i="8"/>
  <c r="G106" i="8"/>
  <c r="H106" i="8"/>
  <c r="C100" i="8"/>
  <c r="D100" i="8"/>
  <c r="E100" i="8"/>
  <c r="F100" i="8"/>
  <c r="G100" i="8"/>
  <c r="H100" i="8"/>
  <c r="B100" i="8"/>
  <c r="B80" i="8"/>
  <c r="C80" i="8"/>
  <c r="D80" i="8"/>
  <c r="E80" i="8"/>
  <c r="F80" i="8"/>
  <c r="G80" i="8"/>
  <c r="H80" i="8"/>
  <c r="B81" i="8"/>
  <c r="C81" i="8"/>
  <c r="D81" i="8"/>
  <c r="E81" i="8"/>
  <c r="F81" i="8"/>
  <c r="G81" i="8"/>
  <c r="H81" i="8"/>
  <c r="B82" i="8"/>
  <c r="C82" i="8"/>
  <c r="D82" i="8"/>
  <c r="E82" i="8"/>
  <c r="F82" i="8"/>
  <c r="G82" i="8"/>
  <c r="H82" i="8"/>
  <c r="B83" i="8"/>
  <c r="C83" i="8"/>
  <c r="D83" i="8"/>
  <c r="E83" i="8"/>
  <c r="F83" i="8"/>
  <c r="G83" i="8"/>
  <c r="H83" i="8"/>
  <c r="B84" i="8"/>
  <c r="C84" i="8"/>
  <c r="D84" i="8"/>
  <c r="E84" i="8"/>
  <c r="F84" i="8"/>
  <c r="G84" i="8"/>
  <c r="H84" i="8"/>
  <c r="B85" i="8"/>
  <c r="C85" i="8"/>
  <c r="D85" i="8"/>
  <c r="E85" i="8"/>
  <c r="F85" i="8"/>
  <c r="G85" i="8"/>
  <c r="H85" i="8"/>
  <c r="C79" i="8"/>
  <c r="D79" i="8"/>
  <c r="E79" i="8"/>
  <c r="F79" i="8"/>
  <c r="G79" i="8"/>
  <c r="H79" i="8"/>
  <c r="B79" i="8"/>
  <c r="B58" i="8"/>
  <c r="E57" i="8"/>
  <c r="C58" i="8"/>
  <c r="D58" i="8"/>
  <c r="E58" i="8"/>
  <c r="F58" i="8"/>
  <c r="G58" i="8"/>
  <c r="H58" i="8"/>
  <c r="B59" i="8"/>
  <c r="C59" i="8"/>
  <c r="D59" i="8"/>
  <c r="E59" i="8"/>
  <c r="F59" i="8"/>
  <c r="G59" i="8"/>
  <c r="H59" i="8"/>
  <c r="B60" i="8"/>
  <c r="C60" i="8"/>
  <c r="D60" i="8"/>
  <c r="E60" i="8"/>
  <c r="F60" i="8"/>
  <c r="G60" i="8"/>
  <c r="H60" i="8"/>
  <c r="B61" i="8"/>
  <c r="C61" i="8"/>
  <c r="D61" i="8"/>
  <c r="E61" i="8"/>
  <c r="F61" i="8"/>
  <c r="G61" i="8"/>
  <c r="H61" i="8"/>
  <c r="B62" i="8"/>
  <c r="C62" i="8"/>
  <c r="D62" i="8"/>
  <c r="E62" i="8"/>
  <c r="F62" i="8"/>
  <c r="G62" i="8"/>
  <c r="H62" i="8"/>
  <c r="B63" i="8"/>
  <c r="C63" i="8"/>
  <c r="D63" i="8"/>
  <c r="E63" i="8"/>
  <c r="F63" i="8"/>
  <c r="G63" i="8"/>
  <c r="H63" i="8"/>
  <c r="C57" i="8"/>
  <c r="D57" i="8"/>
  <c r="F57" i="8"/>
  <c r="G57" i="8"/>
  <c r="H57" i="8"/>
  <c r="B57" i="8"/>
  <c r="B35" i="8"/>
  <c r="B36" i="8"/>
  <c r="C36" i="8"/>
  <c r="D36" i="8"/>
  <c r="E36" i="8"/>
  <c r="F36" i="8"/>
  <c r="G36" i="8"/>
  <c r="H36" i="8"/>
  <c r="B37" i="8"/>
  <c r="C37" i="8"/>
  <c r="D37" i="8"/>
  <c r="E37" i="8"/>
  <c r="F37" i="8"/>
  <c r="G37" i="8"/>
  <c r="H37" i="8"/>
  <c r="B38" i="8"/>
  <c r="C38" i="8"/>
  <c r="D38" i="8"/>
  <c r="E38" i="8"/>
  <c r="F38" i="8"/>
  <c r="G38" i="8"/>
  <c r="H38" i="8"/>
  <c r="B39" i="8"/>
  <c r="C39" i="8"/>
  <c r="D39" i="8"/>
  <c r="E39" i="8"/>
  <c r="F39" i="8"/>
  <c r="G39" i="8"/>
  <c r="H39" i="8"/>
  <c r="B40" i="8"/>
  <c r="C40" i="8"/>
  <c r="D40" i="8"/>
  <c r="E40" i="8"/>
  <c r="F40" i="8"/>
  <c r="G40" i="8"/>
  <c r="H40" i="8"/>
  <c r="B41" i="8"/>
  <c r="C41" i="8"/>
  <c r="D41" i="8"/>
  <c r="E41" i="8"/>
  <c r="F41" i="8"/>
  <c r="G41" i="8"/>
  <c r="H41" i="8"/>
  <c r="C35" i="8"/>
  <c r="D35" i="8"/>
  <c r="E35" i="8"/>
  <c r="F35" i="8"/>
  <c r="G35" i="8"/>
  <c r="H35" i="8"/>
  <c r="K13" i="8"/>
  <c r="B3" i="2"/>
  <c r="J12" i="8" a="1"/>
  <c r="J12" i="8"/>
  <c r="I11" i="8" a="1"/>
  <c r="H10" i="8" a="1"/>
  <c r="H10" i="8"/>
  <c r="G9" i="8" a="1"/>
  <c r="G9" i="8"/>
  <c r="F8" i="8" a="1"/>
  <c r="F8" i="8"/>
  <c r="F13" i="8" s="1"/>
  <c r="E7" i="8" a="1"/>
  <c r="E7" i="8"/>
  <c r="D6" i="8" a="1"/>
  <c r="D6" i="8"/>
  <c r="C5" i="8" a="1"/>
  <c r="C5" i="8"/>
  <c r="B4" i="8" a="1"/>
  <c r="B4" i="8"/>
  <c r="B2" i="2"/>
  <c r="C2" i="2"/>
  <c r="E50" i="6"/>
  <c r="E51" i="6"/>
  <c r="E52" i="6"/>
  <c r="E53" i="6"/>
  <c r="E54" i="6"/>
  <c r="E55" i="6"/>
  <c r="F50" i="6"/>
  <c r="F51" i="6"/>
  <c r="F52" i="6"/>
  <c r="F53" i="6"/>
  <c r="F54" i="6"/>
  <c r="F55" i="6"/>
  <c r="G50" i="6"/>
  <c r="G51" i="6"/>
  <c r="G52" i="6"/>
  <c r="G53" i="6"/>
  <c r="G54" i="6"/>
  <c r="G55" i="6"/>
  <c r="H50" i="6"/>
  <c r="H51" i="6"/>
  <c r="H52" i="6"/>
  <c r="H53" i="6"/>
  <c r="H54" i="6"/>
  <c r="H55" i="6"/>
  <c r="I50" i="6"/>
  <c r="I51" i="6"/>
  <c r="I52" i="6"/>
  <c r="I53" i="6"/>
  <c r="I54" i="6"/>
  <c r="I55" i="6"/>
  <c r="J50" i="6"/>
  <c r="J51" i="6"/>
  <c r="J52" i="6"/>
  <c r="J53" i="6"/>
  <c r="J54" i="6"/>
  <c r="J55" i="6"/>
  <c r="K50" i="6"/>
  <c r="K51" i="6"/>
  <c r="K52" i="6"/>
  <c r="K53" i="6"/>
  <c r="K54" i="6"/>
  <c r="K55" i="6"/>
  <c r="K49" i="6"/>
  <c r="J49" i="6"/>
  <c r="I49" i="6"/>
  <c r="H49" i="6"/>
  <c r="G49" i="6"/>
  <c r="F49" i="6"/>
  <c r="E49" i="6"/>
  <c r="E38" i="6"/>
  <c r="E39" i="6"/>
  <c r="E40" i="6"/>
  <c r="E41" i="6"/>
  <c r="E42" i="6"/>
  <c r="E43" i="6"/>
  <c r="F38" i="6"/>
  <c r="F39" i="6"/>
  <c r="F40" i="6"/>
  <c r="F41" i="6"/>
  <c r="F42" i="6"/>
  <c r="F43" i="6"/>
  <c r="G38" i="6"/>
  <c r="G39" i="6"/>
  <c r="G40" i="6"/>
  <c r="G41" i="6"/>
  <c r="G42" i="6"/>
  <c r="G43" i="6"/>
  <c r="H38" i="6"/>
  <c r="H39" i="6"/>
  <c r="H40" i="6"/>
  <c r="H41" i="6"/>
  <c r="H42" i="6"/>
  <c r="H43" i="6"/>
  <c r="I38" i="6"/>
  <c r="I39" i="6"/>
  <c r="I40" i="6"/>
  <c r="I41" i="6"/>
  <c r="I42" i="6"/>
  <c r="I43" i="6"/>
  <c r="J38" i="6"/>
  <c r="J39" i="6"/>
  <c r="J40" i="6"/>
  <c r="J41" i="6"/>
  <c r="J42" i="6"/>
  <c r="J43" i="6"/>
  <c r="K38" i="6"/>
  <c r="K39" i="6"/>
  <c r="K40" i="6"/>
  <c r="K41" i="6"/>
  <c r="K42" i="6"/>
  <c r="K43" i="6"/>
  <c r="K37" i="6"/>
  <c r="J37" i="6"/>
  <c r="I37" i="6"/>
  <c r="H37" i="6"/>
  <c r="G37" i="6"/>
  <c r="F37" i="6"/>
  <c r="E37" i="6"/>
  <c r="E26" i="6"/>
  <c r="E27" i="6"/>
  <c r="E28" i="6"/>
  <c r="E29" i="6"/>
  <c r="E30" i="6"/>
  <c r="E31" i="6"/>
  <c r="E32" i="6"/>
  <c r="F26" i="6"/>
  <c r="F27" i="6"/>
  <c r="F28" i="6"/>
  <c r="F29" i="6"/>
  <c r="F30" i="6"/>
  <c r="F31" i="6"/>
  <c r="G26" i="6"/>
  <c r="G27" i="6"/>
  <c r="G28" i="6"/>
  <c r="G29" i="6"/>
  <c r="G30" i="6"/>
  <c r="G31" i="6"/>
  <c r="H26" i="6"/>
  <c r="H27" i="6"/>
  <c r="H28" i="6"/>
  <c r="H29" i="6"/>
  <c r="H30" i="6"/>
  <c r="H31" i="6"/>
  <c r="I26" i="6"/>
  <c r="I27" i="6"/>
  <c r="I28" i="6"/>
  <c r="I29" i="6"/>
  <c r="I30" i="6"/>
  <c r="I31" i="6"/>
  <c r="J26" i="6"/>
  <c r="J27" i="6"/>
  <c r="J28" i="6"/>
  <c r="J29" i="6"/>
  <c r="J30" i="6"/>
  <c r="J31" i="6"/>
  <c r="K26" i="6"/>
  <c r="K27" i="6"/>
  <c r="K28" i="6"/>
  <c r="K29" i="6"/>
  <c r="K30" i="6"/>
  <c r="K31" i="6"/>
  <c r="K25" i="6"/>
  <c r="J25" i="6"/>
  <c r="I25" i="6"/>
  <c r="H25" i="6"/>
  <c r="G25" i="6"/>
  <c r="F25" i="6"/>
  <c r="E25" i="6"/>
  <c r="D26" i="6"/>
  <c r="D27" i="6"/>
  <c r="D28" i="6"/>
  <c r="D29" i="6"/>
  <c r="D30" i="6"/>
  <c r="D31" i="6"/>
  <c r="D25" i="6"/>
  <c r="D38" i="6"/>
  <c r="D39" i="6"/>
  <c r="D40" i="6"/>
  <c r="D41" i="6"/>
  <c r="D42" i="6"/>
  <c r="D43" i="6"/>
  <c r="D37" i="6"/>
  <c r="D50" i="6"/>
  <c r="D51" i="6"/>
  <c r="D52" i="6"/>
  <c r="D53" i="6"/>
  <c r="D54" i="6"/>
  <c r="D55" i="6"/>
  <c r="D49" i="6"/>
  <c r="C50" i="6"/>
  <c r="C51" i="6"/>
  <c r="C52" i="6"/>
  <c r="C53" i="6"/>
  <c r="C54" i="6"/>
  <c r="C55" i="6"/>
  <c r="C49" i="6"/>
  <c r="C38" i="6"/>
  <c r="C39" i="6"/>
  <c r="C40" i="6"/>
  <c r="C41" i="6"/>
  <c r="C42" i="6"/>
  <c r="C43" i="6"/>
  <c r="C37" i="6"/>
  <c r="C26" i="6"/>
  <c r="C27" i="6"/>
  <c r="C28" i="6"/>
  <c r="C29" i="6"/>
  <c r="C30" i="6"/>
  <c r="C31" i="6"/>
  <c r="C25" i="6"/>
  <c r="B25" i="6"/>
  <c r="K14" i="6"/>
  <c r="K15" i="6"/>
  <c r="K16" i="6"/>
  <c r="K17" i="6"/>
  <c r="K18" i="6"/>
  <c r="K19" i="6"/>
  <c r="K13" i="6"/>
  <c r="J14" i="6"/>
  <c r="J15" i="6"/>
  <c r="J16" i="6"/>
  <c r="J17" i="6"/>
  <c r="J18" i="6"/>
  <c r="J19" i="6"/>
  <c r="J13" i="6"/>
  <c r="I14" i="6"/>
  <c r="I15" i="6"/>
  <c r="I16" i="6"/>
  <c r="I17" i="6"/>
  <c r="I18" i="6"/>
  <c r="I19" i="6"/>
  <c r="I13" i="6"/>
  <c r="H14" i="6"/>
  <c r="H15" i="6"/>
  <c r="H16" i="6"/>
  <c r="H17" i="6"/>
  <c r="H18" i="6"/>
  <c r="H19" i="6"/>
  <c r="H13" i="6"/>
  <c r="G14" i="6"/>
  <c r="G15" i="6"/>
  <c r="G16" i="6"/>
  <c r="G17" i="6"/>
  <c r="G18" i="6"/>
  <c r="G19" i="6"/>
  <c r="G13" i="6"/>
  <c r="F14" i="6"/>
  <c r="F15" i="6"/>
  <c r="F16" i="6"/>
  <c r="F17" i="6"/>
  <c r="F18" i="6"/>
  <c r="F19" i="6"/>
  <c r="F13" i="6"/>
  <c r="E14" i="6"/>
  <c r="E15" i="6"/>
  <c r="E16" i="6"/>
  <c r="E17" i="6"/>
  <c r="E18" i="6"/>
  <c r="E19" i="6"/>
  <c r="E13" i="6"/>
  <c r="D14" i="6"/>
  <c r="D15" i="6"/>
  <c r="D16" i="6"/>
  <c r="D17" i="6"/>
  <c r="D18" i="6"/>
  <c r="D19" i="6"/>
  <c r="D13" i="6"/>
  <c r="C14" i="6"/>
  <c r="C15" i="6"/>
  <c r="C16" i="6"/>
  <c r="C17" i="6"/>
  <c r="C18" i="6"/>
  <c r="C19" i="6"/>
  <c r="C13" i="6"/>
  <c r="F3" i="4"/>
  <c r="F4" i="4"/>
  <c r="F5" i="4"/>
  <c r="F6" i="4"/>
  <c r="F7" i="4"/>
  <c r="F8" i="4"/>
  <c r="F9" i="4"/>
  <c r="F10" i="4"/>
  <c r="F11" i="4"/>
  <c r="C2" i="4"/>
  <c r="D2" i="4"/>
  <c r="F2" i="4"/>
  <c r="C3" i="4"/>
  <c r="D3" i="4"/>
  <c r="C4" i="4"/>
  <c r="D4" i="4"/>
  <c r="C7" i="4"/>
  <c r="D7" i="4"/>
  <c r="C9" i="4"/>
  <c r="D9" i="4"/>
  <c r="C6" i="4"/>
  <c r="D6" i="4"/>
  <c r="C5" i="4"/>
  <c r="D5" i="4"/>
  <c r="C8" i="4"/>
  <c r="D8" i="4"/>
  <c r="C11" i="4"/>
  <c r="D11" i="4"/>
  <c r="C10" i="4"/>
  <c r="D10" i="4"/>
  <c r="B13" i="6"/>
  <c r="B14" i="6"/>
  <c r="B15" i="6"/>
  <c r="B16" i="6"/>
  <c r="B17" i="6"/>
  <c r="B18" i="6"/>
  <c r="B19" i="6"/>
  <c r="B4" i="6"/>
  <c r="C4" i="6"/>
  <c r="D4" i="6"/>
  <c r="E4" i="6"/>
  <c r="F4" i="6"/>
  <c r="G4" i="6"/>
  <c r="H4" i="6"/>
  <c r="I4" i="6"/>
  <c r="J4" i="6"/>
  <c r="K4" i="6"/>
  <c r="B5" i="6"/>
  <c r="C5" i="6"/>
  <c r="D5" i="6"/>
  <c r="E5" i="6"/>
  <c r="F5" i="6"/>
  <c r="G5" i="6"/>
  <c r="H5" i="6"/>
  <c r="I5" i="6"/>
  <c r="J5" i="6"/>
  <c r="K5" i="6"/>
  <c r="B6" i="6"/>
  <c r="C6" i="6"/>
  <c r="D6" i="6"/>
  <c r="E6" i="6"/>
  <c r="F6" i="6"/>
  <c r="G6" i="6"/>
  <c r="H6" i="6"/>
  <c r="I6" i="6"/>
  <c r="J6" i="6"/>
  <c r="K6" i="6"/>
  <c r="B7" i="6"/>
  <c r="C7" i="6"/>
  <c r="D7" i="6"/>
  <c r="E7" i="6"/>
  <c r="F7" i="6"/>
  <c r="G7" i="6"/>
  <c r="H7" i="6"/>
  <c r="I7" i="6"/>
  <c r="J7" i="6"/>
  <c r="K7" i="6"/>
  <c r="B8" i="6"/>
  <c r="C8" i="6"/>
  <c r="D8" i="6"/>
  <c r="E8" i="6"/>
  <c r="F8" i="6"/>
  <c r="G8" i="6"/>
  <c r="H8" i="6"/>
  <c r="J8" i="6"/>
  <c r="K8" i="6"/>
  <c r="B9" i="6"/>
  <c r="C9" i="6"/>
  <c r="D9" i="6"/>
  <c r="E9" i="6"/>
  <c r="F9" i="6"/>
  <c r="G9" i="6"/>
  <c r="H9" i="6"/>
  <c r="I9" i="6"/>
  <c r="J9" i="6"/>
  <c r="K9" i="6"/>
  <c r="C3" i="6"/>
  <c r="D3" i="6"/>
  <c r="E3" i="6"/>
  <c r="F3" i="6"/>
  <c r="G3" i="6"/>
  <c r="H3" i="6"/>
  <c r="I3" i="6"/>
  <c r="J3" i="6"/>
  <c r="K3" i="6"/>
  <c r="B3" i="6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I3" i="2"/>
  <c r="I4" i="2"/>
  <c r="I5" i="2"/>
  <c r="I6" i="2"/>
  <c r="I7" i="2"/>
  <c r="I8" i="2"/>
  <c r="I2" i="2"/>
  <c r="K3" i="2"/>
  <c r="K4" i="2"/>
  <c r="K5" i="2"/>
  <c r="K6" i="2"/>
  <c r="K7" i="2"/>
  <c r="K8" i="2"/>
  <c r="K2" i="2"/>
  <c r="J3" i="2"/>
  <c r="J4" i="2"/>
  <c r="J5" i="2"/>
  <c r="J6" i="2"/>
  <c r="J7" i="2"/>
  <c r="J8" i="2"/>
  <c r="J2" i="2"/>
  <c r="F3" i="2"/>
  <c r="F4" i="2"/>
  <c r="F5" i="2"/>
  <c r="F6" i="2"/>
  <c r="F7" i="2"/>
  <c r="F8" i="2"/>
  <c r="F2" i="2"/>
  <c r="E3" i="2"/>
  <c r="E4" i="2"/>
  <c r="E5" i="2"/>
  <c r="E6" i="2"/>
  <c r="E7" i="2"/>
  <c r="E8" i="2"/>
  <c r="E2" i="2"/>
  <c r="D3" i="2"/>
  <c r="D4" i="2"/>
  <c r="D5" i="2"/>
  <c r="D6" i="2"/>
  <c r="D7" i="2"/>
  <c r="D8" i="2"/>
  <c r="D2" i="2"/>
  <c r="C3" i="2"/>
  <c r="C4" i="2"/>
  <c r="C5" i="2"/>
  <c r="C6" i="2"/>
  <c r="C7" i="2"/>
  <c r="C8" i="2"/>
  <c r="B4" i="2"/>
  <c r="B5" i="2"/>
  <c r="B6" i="2"/>
  <c r="B7" i="2"/>
  <c r="B8" i="2"/>
  <c r="L30" i="10" l="1" a="1"/>
  <c r="L30" i="10" s="1"/>
  <c r="K30" i="10" a="1"/>
  <c r="K30" i="10" s="1"/>
  <c r="J30" i="10" a="1"/>
  <c r="J30" i="10" s="1"/>
  <c r="I30" i="10" a="1"/>
  <c r="I30" i="10" s="1"/>
  <c r="H30" i="10" a="1"/>
  <c r="H30" i="10" s="1"/>
  <c r="G30" i="10" a="1"/>
  <c r="G30" i="10" s="1"/>
  <c r="F30" i="10" a="1"/>
  <c r="F30" i="10" s="1"/>
  <c r="E30" i="10" a="1"/>
  <c r="E30" i="10" s="1"/>
  <c r="D30" i="10" a="1"/>
  <c r="D30" i="10" s="1"/>
  <c r="C30" i="10" a="1"/>
  <c r="C30" i="10" s="1"/>
  <c r="L31" i="10" a="1"/>
  <c r="L31" i="10" s="1"/>
  <c r="K31" i="10" a="1"/>
  <c r="K31" i="10" s="1"/>
  <c r="J31" i="10" a="1"/>
  <c r="J31" i="10" s="1"/>
  <c r="I31" i="10" a="1"/>
  <c r="I31" i="10" s="1"/>
  <c r="H31" i="10" a="1"/>
  <c r="H31" i="10" s="1"/>
  <c r="G31" i="10" a="1"/>
  <c r="G31" i="10" s="1"/>
  <c r="F31" i="10" a="1"/>
  <c r="F31" i="10" s="1"/>
  <c r="E31" i="10" a="1"/>
  <c r="E31" i="10" s="1"/>
  <c r="D31" i="10" a="1"/>
  <c r="D31" i="10" s="1"/>
  <c r="C31" i="10" a="1"/>
  <c r="C31" i="10" s="1"/>
  <c r="M31" i="10" s="1" a="1"/>
  <c r="M31" i="10" s="1"/>
  <c r="L32" i="10" a="1"/>
  <c r="L32" i="10" s="1"/>
  <c r="K32" i="10" a="1"/>
  <c r="K32" i="10" s="1"/>
  <c r="J32" i="10" a="1"/>
  <c r="J32" i="10" s="1"/>
  <c r="I32" i="10" a="1"/>
  <c r="I32" i="10" s="1"/>
  <c r="H32" i="10" a="1"/>
  <c r="H32" i="10" s="1"/>
  <c r="G32" i="10" a="1"/>
  <c r="G32" i="10" s="1"/>
  <c r="F32" i="10" a="1"/>
  <c r="F32" i="10" s="1"/>
  <c r="E32" i="10" a="1"/>
  <c r="E32" i="10" s="1"/>
  <c r="D32" i="10" a="1"/>
  <c r="D32" i="10" s="1"/>
  <c r="C32" i="10" a="1"/>
  <c r="C32" i="10" s="1"/>
  <c r="L33" i="10" a="1"/>
  <c r="L33" i="10" s="1"/>
  <c r="K33" i="10" a="1"/>
  <c r="K33" i="10" s="1"/>
  <c r="J33" i="10" a="1"/>
  <c r="J33" i="10" s="1"/>
  <c r="I33" i="10" a="1"/>
  <c r="I33" i="10" s="1"/>
  <c r="H33" i="10" a="1"/>
  <c r="H33" i="10" s="1"/>
  <c r="G33" i="10" a="1"/>
  <c r="G33" i="10" s="1"/>
  <c r="F33" i="10" a="1"/>
  <c r="F33" i="10" s="1"/>
  <c r="E33" i="10" a="1"/>
  <c r="E33" i="10" s="1"/>
  <c r="D33" i="10" a="1"/>
  <c r="D33" i="10" s="1"/>
  <c r="C33" i="10" a="1"/>
  <c r="C33" i="10" s="1"/>
  <c r="L34" i="10" a="1"/>
  <c r="L34" i="10" s="1"/>
  <c r="K34" i="10" a="1"/>
  <c r="K34" i="10" s="1"/>
  <c r="J34" i="10" a="1"/>
  <c r="J34" i="10" s="1"/>
  <c r="I34" i="10" a="1"/>
  <c r="I34" i="10" s="1"/>
  <c r="H34" i="10" a="1"/>
  <c r="H34" i="10" s="1"/>
  <c r="G34" i="10" a="1"/>
  <c r="G34" i="10" s="1"/>
  <c r="F34" i="10" a="1"/>
  <c r="F34" i="10" s="1"/>
  <c r="E34" i="10" a="1"/>
  <c r="E34" i="10" s="1"/>
  <c r="D34" i="10" a="1"/>
  <c r="D34" i="10" s="1"/>
  <c r="C34" i="10" a="1"/>
  <c r="C34" i="10" s="1"/>
  <c r="L35" i="10" a="1"/>
  <c r="L35" i="10" s="1"/>
  <c r="K35" i="10" a="1"/>
  <c r="K35" i="10" s="1"/>
  <c r="J35" i="10" a="1"/>
  <c r="J35" i="10" s="1"/>
  <c r="I35" i="10" a="1"/>
  <c r="I35" i="10" s="1"/>
  <c r="H35" i="10" a="1"/>
  <c r="H35" i="10" s="1"/>
  <c r="G35" i="10" a="1"/>
  <c r="G35" i="10" s="1"/>
  <c r="F35" i="10" a="1"/>
  <c r="F35" i="10" s="1"/>
  <c r="E35" i="10" a="1"/>
  <c r="E35" i="10" s="1"/>
  <c r="D35" i="10" a="1"/>
  <c r="D35" i="10" s="1"/>
  <c r="C35" i="10" a="1"/>
  <c r="C35" i="10" s="1"/>
  <c r="L36" i="10" a="1"/>
  <c r="L36" i="10" s="1"/>
  <c r="K36" i="10" a="1"/>
  <c r="K36" i="10" s="1"/>
  <c r="J36" i="10" a="1"/>
  <c r="J36" i="10" s="1"/>
  <c r="I36" i="10" a="1"/>
  <c r="I36" i="10" s="1"/>
  <c r="H36" i="10" a="1"/>
  <c r="H36" i="10" s="1"/>
  <c r="G36" i="10" a="1"/>
  <c r="G36" i="10" s="1"/>
  <c r="F36" i="10" a="1"/>
  <c r="F36" i="10" s="1"/>
  <c r="E36" i="10" a="1"/>
  <c r="E36" i="10" s="1"/>
  <c r="D36" i="10" a="1"/>
  <c r="D36" i="10" s="1"/>
  <c r="C36" i="10" a="1"/>
  <c r="C36" i="10" s="1"/>
  <c r="L37" i="10" a="1"/>
  <c r="L37" i="10" s="1"/>
  <c r="K37" i="10" a="1"/>
  <c r="K37" i="10" s="1"/>
  <c r="J37" i="10" a="1"/>
  <c r="J37" i="10" s="1"/>
  <c r="I37" i="10" a="1"/>
  <c r="I37" i="10" s="1"/>
  <c r="H37" i="10" a="1"/>
  <c r="H37" i="10" s="1"/>
  <c r="G37" i="10" a="1"/>
  <c r="G37" i="10" s="1"/>
  <c r="F37" i="10" a="1"/>
  <c r="F37" i="10" s="1"/>
  <c r="E37" i="10" a="1"/>
  <c r="E37" i="10" s="1"/>
  <c r="D37" i="10" a="1"/>
  <c r="D37" i="10" s="1"/>
  <c r="C37" i="10" a="1"/>
  <c r="C37" i="10" s="1"/>
  <c r="L38" i="10" a="1"/>
  <c r="L38" i="10" s="1"/>
  <c r="K38" i="10" a="1"/>
  <c r="K38" i="10" s="1"/>
  <c r="J38" i="10" a="1"/>
  <c r="J38" i="10" s="1"/>
  <c r="I38" i="10" a="1"/>
  <c r="I38" i="10" s="1"/>
  <c r="H38" i="10" a="1"/>
  <c r="H38" i="10" s="1"/>
  <c r="G38" i="10" a="1"/>
  <c r="G38" i="10" s="1"/>
  <c r="F38" i="10" a="1"/>
  <c r="F38" i="10" s="1"/>
  <c r="E38" i="10" a="1"/>
  <c r="E38" i="10" s="1"/>
  <c r="D38" i="10" a="1"/>
  <c r="D38" i="10" s="1"/>
  <c r="C38" i="10" a="1"/>
  <c r="C38" i="10" s="1"/>
  <c r="L39" i="10" a="1"/>
  <c r="L39" i="10" s="1"/>
  <c r="K39" i="10" a="1"/>
  <c r="K39" i="10" s="1"/>
  <c r="J39" i="10" a="1"/>
  <c r="J39" i="10" s="1"/>
  <c r="I39" i="10" a="1"/>
  <c r="I39" i="10" s="1"/>
  <c r="H39" i="10" a="1"/>
  <c r="H39" i="10" s="1"/>
  <c r="G39" i="10" a="1"/>
  <c r="G39" i="10" s="1"/>
  <c r="F39" i="10" a="1"/>
  <c r="F39" i="10" s="1"/>
  <c r="E39" i="10" a="1"/>
  <c r="E39" i="10" s="1"/>
  <c r="D39" i="10" a="1"/>
  <c r="D39" i="10" s="1"/>
  <c r="C39" i="10" a="1"/>
  <c r="C39" i="10" s="1"/>
  <c r="L40" i="10" a="1"/>
  <c r="L40" i="10" s="1"/>
  <c r="K40" i="10" a="1"/>
  <c r="K40" i="10" s="1"/>
  <c r="J40" i="10" a="1"/>
  <c r="J40" i="10" s="1"/>
  <c r="I40" i="10" a="1"/>
  <c r="I40" i="10" s="1"/>
  <c r="H40" i="10" a="1"/>
  <c r="H40" i="10" s="1"/>
  <c r="G40" i="10" a="1"/>
  <c r="G40" i="10" s="1"/>
  <c r="F40" i="10" a="1"/>
  <c r="F40" i="10" s="1"/>
  <c r="E40" i="10" a="1"/>
  <c r="E40" i="10" s="1"/>
  <c r="D40" i="10" a="1"/>
  <c r="D40" i="10" s="1"/>
  <c r="C40" i="10" a="1"/>
  <c r="C40" i="10" s="1"/>
  <c r="L41" i="10" a="1"/>
  <c r="L41" i="10" s="1"/>
  <c r="K41" i="10" a="1"/>
  <c r="K41" i="10" s="1"/>
  <c r="J41" i="10" a="1"/>
  <c r="J41" i="10" s="1"/>
  <c r="I41" i="10" a="1"/>
  <c r="I41" i="10" s="1"/>
  <c r="H41" i="10" a="1"/>
  <c r="H41" i="10" s="1"/>
  <c r="G41" i="10" a="1"/>
  <c r="G41" i="10" s="1"/>
  <c r="F41" i="10" a="1"/>
  <c r="F41" i="10" s="1"/>
  <c r="E41" i="10" a="1"/>
  <c r="E41" i="10" s="1"/>
  <c r="D41" i="10" a="1"/>
  <c r="D41" i="10" s="1"/>
  <c r="C41" i="10" a="1"/>
  <c r="C41" i="10" s="1"/>
  <c r="L42" i="10" a="1"/>
  <c r="L42" i="10" s="1"/>
  <c r="K42" i="10" a="1"/>
  <c r="K42" i="10" s="1"/>
  <c r="J42" i="10" a="1"/>
  <c r="J42" i="10" s="1"/>
  <c r="I42" i="10" a="1"/>
  <c r="I42" i="10" s="1"/>
  <c r="H42" i="10" a="1"/>
  <c r="H42" i="10" s="1"/>
  <c r="G42" i="10" a="1"/>
  <c r="G42" i="10" s="1"/>
  <c r="F42" i="10" a="1"/>
  <c r="F42" i="10" s="1"/>
  <c r="E42" i="10" a="1"/>
  <c r="E42" i="10" s="1"/>
  <c r="D42" i="10" a="1"/>
  <c r="D42" i="10" s="1"/>
  <c r="C42" i="10" a="1"/>
  <c r="C42" i="10" s="1"/>
  <c r="L43" i="10" a="1"/>
  <c r="L43" i="10" s="1"/>
  <c r="K43" i="10" a="1"/>
  <c r="K43" i="10" s="1"/>
  <c r="J43" i="10" a="1"/>
  <c r="J43" i="10" s="1"/>
  <c r="I43" i="10" a="1"/>
  <c r="I43" i="10" s="1"/>
  <c r="H43" i="10" a="1"/>
  <c r="H43" i="10" s="1"/>
  <c r="G43" i="10" a="1"/>
  <c r="G43" i="10" s="1"/>
  <c r="F43" i="10" a="1"/>
  <c r="F43" i="10" s="1"/>
  <c r="E43" i="10" a="1"/>
  <c r="E43" i="10" s="1"/>
  <c r="D43" i="10" a="1"/>
  <c r="D43" i="10" s="1"/>
  <c r="C43" i="10" a="1"/>
  <c r="C43" i="10" s="1"/>
  <c r="L44" i="10" a="1"/>
  <c r="L44" i="10" s="1"/>
  <c r="K44" i="10" a="1"/>
  <c r="K44" i="10" s="1"/>
  <c r="J44" i="10" a="1"/>
  <c r="J44" i="10" s="1"/>
  <c r="I44" i="10" a="1"/>
  <c r="I44" i="10" s="1"/>
  <c r="H44" i="10" a="1"/>
  <c r="H44" i="10" s="1"/>
  <c r="G44" i="10" a="1"/>
  <c r="G44" i="10" s="1"/>
  <c r="F44" i="10" a="1"/>
  <c r="F44" i="10" s="1"/>
  <c r="E44" i="10" a="1"/>
  <c r="E44" i="10" s="1"/>
  <c r="D44" i="10" a="1"/>
  <c r="D44" i="10" s="1"/>
  <c r="C44" i="10" a="1"/>
  <c r="C44" i="10" s="1"/>
  <c r="L45" i="10" a="1"/>
  <c r="L45" i="10" s="1"/>
  <c r="K45" i="10" a="1"/>
  <c r="K45" i="10" s="1"/>
  <c r="J45" i="10" a="1"/>
  <c r="J45" i="10" s="1"/>
  <c r="I45" i="10" a="1"/>
  <c r="I45" i="10" s="1"/>
  <c r="H45" i="10" a="1"/>
  <c r="H45" i="10" s="1"/>
  <c r="G45" i="10" a="1"/>
  <c r="G45" i="10" s="1"/>
  <c r="F45" i="10" a="1"/>
  <c r="F45" i="10" s="1"/>
  <c r="E45" i="10" a="1"/>
  <c r="E45" i="10" s="1"/>
  <c r="D45" i="10" a="1"/>
  <c r="D45" i="10" s="1"/>
  <c r="C45" i="10" a="1"/>
  <c r="C45" i="10" s="1"/>
  <c r="L46" i="10" a="1"/>
  <c r="L46" i="10" s="1"/>
  <c r="K46" i="10" a="1"/>
  <c r="K46" i="10" s="1"/>
  <c r="J46" i="10" a="1"/>
  <c r="J46" i="10" s="1"/>
  <c r="I46" i="10" a="1"/>
  <c r="I46" i="10" s="1"/>
  <c r="H46" i="10" a="1"/>
  <c r="H46" i="10" s="1"/>
  <c r="G46" i="10" a="1"/>
  <c r="G46" i="10" s="1"/>
  <c r="F46" i="10" a="1"/>
  <c r="F46" i="10" s="1"/>
  <c r="E46" i="10" a="1"/>
  <c r="E46" i="10" s="1"/>
  <c r="D46" i="10" a="1"/>
  <c r="D46" i="10" s="1"/>
  <c r="C46" i="10" a="1"/>
  <c r="C46" i="10" s="1"/>
  <c r="L47" i="10" a="1"/>
  <c r="L47" i="10" s="1"/>
  <c r="K47" i="10" a="1"/>
  <c r="K47" i="10" s="1"/>
  <c r="J47" i="10" a="1"/>
  <c r="J47" i="10" s="1"/>
  <c r="I47" i="10" a="1"/>
  <c r="I47" i="10" s="1"/>
  <c r="H47" i="10" a="1"/>
  <c r="H47" i="10" s="1"/>
  <c r="G47" i="10" a="1"/>
  <c r="G47" i="10" s="1"/>
  <c r="F47" i="10" a="1"/>
  <c r="F47" i="10" s="1"/>
  <c r="E47" i="10" a="1"/>
  <c r="E47" i="10" s="1"/>
  <c r="D47" i="10" a="1"/>
  <c r="D47" i="10" s="1"/>
  <c r="C47" i="10" a="1"/>
  <c r="C47" i="10" s="1"/>
  <c r="L48" i="10" a="1"/>
  <c r="L48" i="10" s="1"/>
  <c r="K48" i="10" a="1"/>
  <c r="K48" i="10" s="1"/>
  <c r="J48" i="10" a="1"/>
  <c r="J48" i="10" s="1"/>
  <c r="I48" i="10" a="1"/>
  <c r="I48" i="10" s="1"/>
  <c r="H48" i="10" a="1"/>
  <c r="H48" i="10" s="1"/>
  <c r="G48" i="10" a="1"/>
  <c r="G48" i="10" s="1"/>
  <c r="F48" i="10" a="1"/>
  <c r="F48" i="10" s="1"/>
  <c r="E48" i="10" a="1"/>
  <c r="E48" i="10" s="1"/>
  <c r="D48" i="10" a="1"/>
  <c r="D48" i="10" s="1"/>
  <c r="C48" i="10" a="1"/>
  <c r="C48" i="10" s="1"/>
  <c r="L49" i="10" a="1"/>
  <c r="L49" i="10" s="1"/>
  <c r="K49" i="10" a="1"/>
  <c r="K49" i="10" s="1"/>
  <c r="J49" i="10" a="1"/>
  <c r="J49" i="10" s="1"/>
  <c r="I49" i="10" a="1"/>
  <c r="I49" i="10" s="1"/>
  <c r="H49" i="10" a="1"/>
  <c r="H49" i="10" s="1"/>
  <c r="G49" i="10" a="1"/>
  <c r="G49" i="10" s="1"/>
  <c r="F49" i="10" a="1"/>
  <c r="F49" i="10" s="1"/>
  <c r="E49" i="10" a="1"/>
  <c r="E49" i="10" s="1"/>
  <c r="D49" i="10" a="1"/>
  <c r="D49" i="10" s="1"/>
  <c r="C49" i="10" a="1"/>
  <c r="C49" i="10" s="1"/>
  <c r="L50" i="10" a="1"/>
  <c r="L50" i="10" s="1"/>
  <c r="K50" i="10" a="1"/>
  <c r="K50" i="10" s="1"/>
  <c r="J50" i="10" a="1"/>
  <c r="J50" i="10" s="1"/>
  <c r="I50" i="10" a="1"/>
  <c r="I50" i="10" s="1"/>
  <c r="H50" i="10" a="1"/>
  <c r="H50" i="10" s="1"/>
  <c r="G50" i="10" a="1"/>
  <c r="G50" i="10" s="1"/>
  <c r="F50" i="10" a="1"/>
  <c r="F50" i="10" s="1"/>
  <c r="E50" i="10" a="1"/>
  <c r="E50" i="10" s="1"/>
  <c r="D50" i="10" a="1"/>
  <c r="D50" i="10" s="1"/>
  <c r="C50" i="10" a="1"/>
  <c r="C50" i="10" s="1"/>
  <c r="L51" i="10" a="1"/>
  <c r="L51" i="10" s="1"/>
  <c r="K51" i="10" a="1"/>
  <c r="K51" i="10" s="1"/>
  <c r="J51" i="10" a="1"/>
  <c r="J51" i="10" s="1"/>
  <c r="I51" i="10" a="1"/>
  <c r="I51" i="10" s="1"/>
  <c r="H51" i="10" a="1"/>
  <c r="H51" i="10" s="1"/>
  <c r="G51" i="10" a="1"/>
  <c r="G51" i="10" s="1"/>
  <c r="F51" i="10" a="1"/>
  <c r="F51" i="10" s="1"/>
  <c r="E51" i="10" a="1"/>
  <c r="E51" i="10" s="1"/>
  <c r="D51" i="10" a="1"/>
  <c r="D51" i="10" s="1"/>
  <c r="C51" i="10" a="1"/>
  <c r="C51" i="10" s="1"/>
  <c r="L52" i="10" a="1"/>
  <c r="L52" i="10" s="1"/>
  <c r="K52" i="10" a="1"/>
  <c r="K52" i="10" s="1"/>
  <c r="J52" i="10" a="1"/>
  <c r="J52" i="10" s="1"/>
  <c r="I52" i="10" a="1"/>
  <c r="I52" i="10" s="1"/>
  <c r="H52" i="10" a="1"/>
  <c r="H52" i="10" s="1"/>
  <c r="G52" i="10" a="1"/>
  <c r="G52" i="10" s="1"/>
  <c r="F52" i="10" a="1"/>
  <c r="F52" i="10" s="1"/>
  <c r="E52" i="10" a="1"/>
  <c r="E52" i="10" s="1"/>
  <c r="D52" i="10" a="1"/>
  <c r="D52" i="10" s="1"/>
  <c r="C52" i="10" a="1"/>
  <c r="C52" i="10" s="1"/>
  <c r="L53" i="10" a="1"/>
  <c r="L53" i="10" s="1"/>
  <c r="K53" i="10" a="1"/>
  <c r="K53" i="10" s="1"/>
  <c r="J53" i="10" a="1"/>
  <c r="J53" i="10" s="1"/>
  <c r="I53" i="10" a="1"/>
  <c r="I53" i="10" s="1"/>
  <c r="H53" i="10" a="1"/>
  <c r="H53" i="10" s="1"/>
  <c r="G53" i="10" a="1"/>
  <c r="G53" i="10" s="1"/>
  <c r="F53" i="10" a="1"/>
  <c r="F53" i="10" s="1"/>
  <c r="E53" i="10" a="1"/>
  <c r="E53" i="10" s="1"/>
  <c r="D53" i="10" a="1"/>
  <c r="D53" i="10" s="1"/>
  <c r="C53" i="10" a="1"/>
  <c r="C53" i="10" s="1"/>
  <c r="L54" i="10" a="1"/>
  <c r="L54" i="10" s="1"/>
  <c r="K54" i="10" a="1"/>
  <c r="K54" i="10" s="1"/>
  <c r="J54" i="10" a="1"/>
  <c r="J54" i="10" s="1"/>
  <c r="I54" i="10" a="1"/>
  <c r="I54" i="10" s="1"/>
  <c r="H54" i="10" a="1"/>
  <c r="H54" i="10" s="1"/>
  <c r="G54" i="10" a="1"/>
  <c r="G54" i="10" s="1"/>
  <c r="F54" i="10" a="1"/>
  <c r="F54" i="10" s="1"/>
  <c r="E54" i="10" a="1"/>
  <c r="E54" i="10" s="1"/>
  <c r="D54" i="10" a="1"/>
  <c r="D54" i="10" s="1"/>
  <c r="C54" i="10" a="1"/>
  <c r="C54" i="10" s="1"/>
  <c r="L55" i="10" a="1"/>
  <c r="L55" i="10" s="1"/>
  <c r="K55" i="10" a="1"/>
  <c r="K55" i="10" s="1"/>
  <c r="J55" i="10" a="1"/>
  <c r="J55" i="10" s="1"/>
  <c r="I55" i="10" a="1"/>
  <c r="I55" i="10" s="1"/>
  <c r="H55" i="10" a="1"/>
  <c r="H55" i="10" s="1"/>
  <c r="G55" i="10" a="1"/>
  <c r="G55" i="10" s="1"/>
  <c r="F55" i="10" a="1"/>
  <c r="F55" i="10" s="1"/>
  <c r="E55" i="10" a="1"/>
  <c r="E55" i="10" s="1"/>
  <c r="D55" i="10" a="1"/>
  <c r="D55" i="10" s="1"/>
  <c r="L56" i="10" a="1"/>
  <c r="L56" i="10" s="1"/>
  <c r="K56" i="10" a="1"/>
  <c r="K56" i="10" s="1"/>
  <c r="J56" i="10" a="1"/>
  <c r="J56" i="10" s="1"/>
  <c r="I56" i="10" a="1"/>
  <c r="I56" i="10" s="1"/>
  <c r="H56" i="10" a="1"/>
  <c r="H56" i="10" s="1"/>
  <c r="G56" i="10" a="1"/>
  <c r="G56" i="10" s="1"/>
  <c r="F56" i="10" a="1"/>
  <c r="F56" i="10" s="1"/>
  <c r="E56" i="10" a="1"/>
  <c r="E56" i="10" s="1"/>
  <c r="D56" i="10" a="1"/>
  <c r="D56" i="10" s="1"/>
  <c r="C56" i="10" a="1"/>
  <c r="C56" i="10" s="1"/>
  <c r="L57" i="10" a="1"/>
  <c r="L57" i="10" s="1"/>
  <c r="K57" i="10" a="1"/>
  <c r="K57" i="10" s="1"/>
  <c r="J57" i="10" a="1"/>
  <c r="J57" i="10" s="1"/>
  <c r="I57" i="10" a="1"/>
  <c r="I57" i="10" s="1"/>
  <c r="H57" i="10" a="1"/>
  <c r="H57" i="10" s="1"/>
  <c r="G57" i="10" a="1"/>
  <c r="G57" i="10" s="1"/>
  <c r="F57" i="10" a="1"/>
  <c r="F57" i="10" s="1"/>
  <c r="E57" i="10" a="1"/>
  <c r="E57" i="10" s="1"/>
  <c r="D57" i="10" a="1"/>
  <c r="D57" i="10" s="1"/>
  <c r="C57" i="10" a="1"/>
  <c r="C57" i="10" s="1"/>
  <c r="P28" i="10" a="1"/>
  <c r="P28" i="10" s="1"/>
  <c r="O28" i="10" a="1"/>
  <c r="O28" i="10" s="1"/>
  <c r="N28" i="10" a="1"/>
  <c r="N28" i="10" s="1"/>
  <c r="P27" i="10" a="1"/>
  <c r="P27" i="10" s="1"/>
  <c r="O27" i="10" a="1"/>
  <c r="O27" i="10" s="1"/>
  <c r="N27" i="10" a="1"/>
  <c r="N27" i="10" s="1"/>
  <c r="P26" i="10" a="1"/>
  <c r="P26" i="10" s="1"/>
  <c r="O26" i="10" a="1"/>
  <c r="O26" i="10" s="1"/>
  <c r="N26" i="10" a="1"/>
  <c r="N26" i="10" s="1"/>
  <c r="P25" i="10" a="1"/>
  <c r="P25" i="10" s="1"/>
  <c r="O25" i="10" a="1"/>
  <c r="O25" i="10" s="1"/>
  <c r="N25" i="10" a="1"/>
  <c r="N25" i="10" s="1"/>
  <c r="P24" i="10" a="1"/>
  <c r="P24" i="10" s="1"/>
  <c r="O24" i="10" a="1"/>
  <c r="O24" i="10" s="1"/>
  <c r="N24" i="10" a="1"/>
  <c r="N24" i="10" s="1"/>
  <c r="P23" i="10" a="1"/>
  <c r="P23" i="10" s="1"/>
  <c r="O23" i="10" a="1"/>
  <c r="O23" i="10" s="1"/>
  <c r="N23" i="10" a="1"/>
  <c r="N23" i="10" s="1"/>
  <c r="P22" i="10" a="1"/>
  <c r="P22" i="10" s="1"/>
  <c r="O22" i="10" a="1"/>
  <c r="O22" i="10" s="1"/>
  <c r="N22" i="10" a="1"/>
  <c r="N22" i="10" s="1"/>
  <c r="P21" i="10" a="1"/>
  <c r="P21" i="10" s="1"/>
  <c r="O21" i="10" a="1"/>
  <c r="O21" i="10" s="1"/>
  <c r="N21" i="10" a="1"/>
  <c r="N21" i="10" s="1"/>
  <c r="P20" i="10" a="1"/>
  <c r="P20" i="10" s="1"/>
  <c r="O20" i="10" a="1"/>
  <c r="O20" i="10" s="1"/>
  <c r="N20" i="10" a="1"/>
  <c r="N20" i="10" s="1"/>
  <c r="P19" i="10" a="1"/>
  <c r="P19" i="10" s="1"/>
  <c r="O19" i="10" a="1"/>
  <c r="O19" i="10" s="1"/>
  <c r="N19" i="10" a="1"/>
  <c r="N19" i="10" s="1"/>
  <c r="P18" i="10" a="1"/>
  <c r="P18" i="10" s="1"/>
  <c r="O18" i="10" a="1"/>
  <c r="O18" i="10" s="1"/>
  <c r="N18" i="10" a="1"/>
  <c r="N18" i="10" s="1"/>
  <c r="P17" i="10" a="1"/>
  <c r="P17" i="10" s="1"/>
  <c r="N17" i="10" a="1"/>
  <c r="N17" i="10" s="1"/>
  <c r="O17" i="10" a="1"/>
  <c r="O17" i="10" s="1"/>
  <c r="P16" i="10" a="1"/>
  <c r="P16" i="10" s="1"/>
  <c r="O16" i="10" a="1"/>
  <c r="O16" i="10" s="1"/>
  <c r="M16" i="10" a="1"/>
  <c r="M16" i="10" s="1"/>
  <c r="N16" i="10" a="1"/>
  <c r="N16" i="10" s="1"/>
  <c r="P57" i="10" a="1"/>
  <c r="P57" i="10" s="1"/>
  <c r="O57" i="10" a="1"/>
  <c r="O57" i="10" s="1"/>
  <c r="N57" i="10" a="1"/>
  <c r="N57" i="10" s="1"/>
  <c r="P56" i="10" a="1"/>
  <c r="P56" i="10" s="1"/>
  <c r="O56" i="10" a="1"/>
  <c r="O56" i="10" s="1"/>
  <c r="N56" i="10" a="1"/>
  <c r="N56" i="10" s="1"/>
  <c r="P55" i="10" a="1"/>
  <c r="P55" i="10" s="1"/>
  <c r="O55" i="10" a="1"/>
  <c r="O55" i="10" s="1"/>
  <c r="N55" i="10" a="1"/>
  <c r="N55" i="10" s="1"/>
  <c r="P54" i="10" a="1"/>
  <c r="P54" i="10" s="1"/>
  <c r="O54" i="10" a="1"/>
  <c r="O54" i="10" s="1"/>
  <c r="N54" i="10" a="1"/>
  <c r="N54" i="10" s="1"/>
  <c r="P53" i="10" a="1"/>
  <c r="P53" i="10" s="1"/>
  <c r="O53" i="10" a="1"/>
  <c r="O53" i="10" s="1"/>
  <c r="N53" i="10" a="1"/>
  <c r="N53" i="10" s="1"/>
  <c r="P52" i="10" a="1"/>
  <c r="P52" i="10" s="1"/>
  <c r="H68" i="10" s="1"/>
  <c r="O52" i="10" a="1"/>
  <c r="O52" i="10" s="1"/>
  <c r="B88" i="10" s="1"/>
  <c r="N52" i="10" a="1"/>
  <c r="N52" i="10" s="1"/>
  <c r="B78" i="10" s="1"/>
  <c r="P51" i="10" a="1"/>
  <c r="P51" i="10" s="1"/>
  <c r="O51" i="10" a="1"/>
  <c r="O51" i="10" s="1"/>
  <c r="N51" i="10" a="1"/>
  <c r="N51" i="10" s="1"/>
  <c r="P50" i="10" a="1"/>
  <c r="P50" i="10" s="1"/>
  <c r="O50" i="10" a="1"/>
  <c r="O50" i="10" s="1"/>
  <c r="N50" i="10" a="1"/>
  <c r="N50" i="10" s="1"/>
  <c r="P49" i="10" a="1"/>
  <c r="P49" i="10" s="1"/>
  <c r="O49" i="10" a="1"/>
  <c r="O49" i="10" s="1"/>
  <c r="N49" i="10" a="1"/>
  <c r="N49" i="10" s="1"/>
  <c r="P48" i="10" a="1"/>
  <c r="P48" i="10" s="1"/>
  <c r="O48" i="10" a="1"/>
  <c r="O48" i="10" s="1"/>
  <c r="N48" i="10" a="1"/>
  <c r="N48" i="10" s="1"/>
  <c r="P47" i="10" a="1"/>
  <c r="P47" i="10" s="1"/>
  <c r="O47" i="10" a="1"/>
  <c r="O47" i="10" s="1"/>
  <c r="N47" i="10" a="1"/>
  <c r="N47" i="10" s="1"/>
  <c r="P46" i="10" a="1"/>
  <c r="P46" i="10" s="1"/>
  <c r="H67" i="10" s="1"/>
  <c r="O46" i="10" a="1"/>
  <c r="O46" i="10" s="1"/>
  <c r="B87" i="10" s="1"/>
  <c r="N46" i="10" a="1"/>
  <c r="N46" i="10" s="1"/>
  <c r="B77" i="10" s="1"/>
  <c r="P45" i="10" a="1"/>
  <c r="P45" i="10" s="1"/>
  <c r="O45" i="10" a="1"/>
  <c r="O45" i="10" s="1"/>
  <c r="N45" i="10" a="1"/>
  <c r="N45" i="10" s="1"/>
  <c r="P44" i="10" a="1"/>
  <c r="P44" i="10" s="1"/>
  <c r="O44" i="10" a="1"/>
  <c r="O44" i="10" s="1"/>
  <c r="N44" i="10" a="1"/>
  <c r="N44" i="10" s="1"/>
  <c r="P43" i="10" a="1"/>
  <c r="P43" i="10" s="1"/>
  <c r="O43" i="10" a="1"/>
  <c r="O43" i="10" s="1"/>
  <c r="N43" i="10" a="1"/>
  <c r="N43" i="10" s="1"/>
  <c r="P42" i="10" a="1"/>
  <c r="P42" i="10" s="1"/>
  <c r="O42" i="10" a="1"/>
  <c r="O42" i="10" s="1"/>
  <c r="N42" i="10" a="1"/>
  <c r="N42" i="10" s="1"/>
  <c r="P41" i="10" a="1"/>
  <c r="P41" i="10" s="1"/>
  <c r="O41" i="10" a="1"/>
  <c r="O41" i="10" s="1"/>
  <c r="N41" i="10" a="1"/>
  <c r="N41" i="10" s="1"/>
  <c r="P40" i="10" a="1"/>
  <c r="P40" i="10" s="1"/>
  <c r="H66" i="10" s="1"/>
  <c r="O40" i="10" a="1"/>
  <c r="O40" i="10" s="1"/>
  <c r="B86" i="10" s="1"/>
  <c r="N40" i="10" a="1"/>
  <c r="N40" i="10" s="1"/>
  <c r="B76" i="10" s="1"/>
  <c r="P39" i="10" a="1"/>
  <c r="P39" i="10" s="1"/>
  <c r="O39" i="10" a="1"/>
  <c r="O39" i="10" s="1"/>
  <c r="N39" i="10" a="1"/>
  <c r="N39" i="10" s="1"/>
  <c r="P38" i="10" a="1"/>
  <c r="P38" i="10" s="1"/>
  <c r="O38" i="10" a="1"/>
  <c r="O38" i="10" s="1"/>
  <c r="N38" i="10" a="1"/>
  <c r="N38" i="10" s="1"/>
  <c r="P37" i="10" a="1"/>
  <c r="P37" i="10" s="1"/>
  <c r="O37" i="10" a="1"/>
  <c r="O37" i="10" s="1"/>
  <c r="N37" i="10" a="1"/>
  <c r="N37" i="10" s="1"/>
  <c r="P36" i="10" a="1"/>
  <c r="P36" i="10" s="1"/>
  <c r="I64" i="10" s="1"/>
  <c r="O36" i="10" a="1"/>
  <c r="O36" i="10" s="1"/>
  <c r="C84" i="10" s="1"/>
  <c r="N36" i="10" a="1"/>
  <c r="N36" i="10" s="1"/>
  <c r="C74" i="10" s="1"/>
  <c r="P35" i="10" a="1"/>
  <c r="P35" i="10" s="1"/>
  <c r="O35" i="10" a="1"/>
  <c r="O35" i="10" s="1"/>
  <c r="N35" i="10" a="1"/>
  <c r="N35" i="10" s="1"/>
  <c r="P34" i="10" a="1"/>
  <c r="P34" i="10" s="1"/>
  <c r="O34" i="10" a="1"/>
  <c r="O34" i="10" s="1"/>
  <c r="N34" i="10" a="1"/>
  <c r="N34" i="10" s="1"/>
  <c r="P33" i="10" a="1"/>
  <c r="P33" i="10" s="1"/>
  <c r="I68" i="10" s="1"/>
  <c r="O33" i="10" a="1"/>
  <c r="O33" i="10" s="1"/>
  <c r="C88" i="10" s="1"/>
  <c r="N33" i="10" a="1"/>
  <c r="N33" i="10" s="1"/>
  <c r="C78" i="10" s="1"/>
  <c r="P32" i="10" a="1"/>
  <c r="P32" i="10" s="1"/>
  <c r="I67" i="10" s="1"/>
  <c r="O32" i="10" a="1"/>
  <c r="O32" i="10" s="1"/>
  <c r="C87" i="10" s="1"/>
  <c r="N32" i="10" a="1"/>
  <c r="N32" i="10" s="1"/>
  <c r="C77" i="10" s="1"/>
  <c r="P31" i="10" a="1"/>
  <c r="P31" i="10" s="1"/>
  <c r="I66" i="10" s="1"/>
  <c r="O31" i="10" a="1"/>
  <c r="O31" i="10" s="1"/>
  <c r="C86" i="10" s="1"/>
  <c r="N31" i="10" a="1"/>
  <c r="N31" i="10" s="1"/>
  <c r="C76" i="10" s="1"/>
  <c r="P29" i="10" a="1"/>
  <c r="P29" i="10" s="1"/>
  <c r="O29" i="10" a="1"/>
  <c r="O29" i="10" s="1"/>
  <c r="N29" i="10" a="1"/>
  <c r="N29" i="10" s="1"/>
  <c r="P30" i="10" a="1"/>
  <c r="P30" i="10" s="1"/>
  <c r="I65" i="10" s="1"/>
  <c r="O30" i="10" a="1"/>
  <c r="O30" i="10" s="1"/>
  <c r="C85" i="10" s="1"/>
  <c r="N30" i="10" a="1"/>
  <c r="N30" i="10" s="1"/>
  <c r="C75" i="10" s="1"/>
  <c r="M49" i="10" a="1"/>
  <c r="M49" i="10" s="1"/>
  <c r="M46" i="10" a="1"/>
  <c r="M46" i="10" s="1"/>
  <c r="M30" i="10" a="1"/>
  <c r="M30" i="10" s="1"/>
  <c r="Q16" i="9" a="1"/>
  <c r="Q16" i="9" s="1"/>
  <c r="B81" i="9" s="1"/>
  <c r="O16" i="9" a="1"/>
  <c r="O16" i="9" s="1"/>
  <c r="B87" i="9"/>
  <c r="B86" i="9"/>
  <c r="B85" i="9"/>
  <c r="B84" i="9"/>
  <c r="B83" i="9"/>
  <c r="B82" i="9"/>
  <c r="C81" i="9"/>
  <c r="C87" i="9"/>
  <c r="C86" i="9"/>
  <c r="C85" i="9"/>
  <c r="C84" i="9"/>
  <c r="C83" i="9"/>
  <c r="M19" i="10" a="1"/>
  <c r="M19" i="10" s="1"/>
  <c r="M57" i="10" a="1"/>
  <c r="M57" i="10" s="1"/>
  <c r="M56" i="10" a="1"/>
  <c r="M56" i="10" s="1"/>
  <c r="M55" i="10" a="1"/>
  <c r="M55" i="10" s="1"/>
  <c r="M54" i="10" a="1"/>
  <c r="M54" i="10" s="1"/>
  <c r="M53" i="10" a="1"/>
  <c r="M53" i="10" s="1"/>
  <c r="M52" i="10" a="1"/>
  <c r="M52" i="10" s="1"/>
  <c r="B68" i="10" s="1"/>
  <c r="M51" i="10" a="1"/>
  <c r="M51" i="10" s="1"/>
  <c r="M50" i="10" a="1"/>
  <c r="M50" i="10" s="1"/>
  <c r="M48" i="10" a="1"/>
  <c r="M48" i="10" s="1"/>
  <c r="M47" i="10" a="1"/>
  <c r="M47" i="10" s="1"/>
  <c r="M45" i="10" a="1"/>
  <c r="M45" i="10" s="1"/>
  <c r="M44" i="10" a="1"/>
  <c r="M44" i="10" s="1"/>
  <c r="M43" i="10" a="1"/>
  <c r="M43" i="10" s="1"/>
  <c r="M42" i="10" a="1"/>
  <c r="M42" i="10" s="1"/>
  <c r="M41" i="10" a="1"/>
  <c r="M41" i="10" s="1"/>
  <c r="M40" i="10" a="1"/>
  <c r="M40" i="10" s="1"/>
  <c r="B66" i="10" s="1"/>
  <c r="M39" i="10" a="1"/>
  <c r="M39" i="10" s="1"/>
  <c r="M38" i="10" a="1"/>
  <c r="M38" i="10" s="1"/>
  <c r="M37" i="10" a="1"/>
  <c r="M37" i="10" s="1"/>
  <c r="M36" i="10" a="1"/>
  <c r="M36" i="10" s="1"/>
  <c r="C64" i="10" s="1"/>
  <c r="M35" i="10" a="1"/>
  <c r="M35" i="10" s="1"/>
  <c r="C63" i="10" s="1"/>
  <c r="M34" i="10" a="1"/>
  <c r="M34" i="10" s="1"/>
  <c r="M33" i="10" a="1"/>
  <c r="M33" i="10" s="1"/>
  <c r="C68" i="10" s="1"/>
  <c r="M32" i="10" a="1"/>
  <c r="M32" i="10" s="1"/>
  <c r="C67" i="10" s="1"/>
  <c r="N16" i="9" a="1"/>
  <c r="N16" i="9" s="1"/>
  <c r="M16" i="9" a="1"/>
  <c r="M16" i="9" s="1"/>
  <c r="M57" i="9" a="1"/>
  <c r="M57" i="9" s="1"/>
  <c r="O57" i="9" a="1"/>
  <c r="O57" i="9" s="1"/>
  <c r="N57" i="9" a="1"/>
  <c r="N57" i="9" s="1"/>
  <c r="M56" i="9" a="1"/>
  <c r="M56" i="9" s="1"/>
  <c r="O56" i="9" a="1"/>
  <c r="O56" i="9" s="1"/>
  <c r="N56" i="9" a="1"/>
  <c r="N56" i="9" s="1"/>
  <c r="M55" i="9" a="1"/>
  <c r="M55" i="9" s="1"/>
  <c r="O55" i="9" a="1"/>
  <c r="O55" i="9" s="1"/>
  <c r="N55" i="9" a="1"/>
  <c r="N55" i="9" s="1"/>
  <c r="M54" i="9" a="1"/>
  <c r="M54" i="9" s="1"/>
  <c r="O54" i="9" a="1"/>
  <c r="O54" i="9" s="1"/>
  <c r="N54" i="9" a="1"/>
  <c r="N54" i="9" s="1"/>
  <c r="M53" i="9" a="1"/>
  <c r="M53" i="9" s="1"/>
  <c r="O53" i="9" a="1"/>
  <c r="O53" i="9" s="1"/>
  <c r="N53" i="9" a="1"/>
  <c r="N53" i="9" s="1"/>
  <c r="M52" i="9" a="1"/>
  <c r="M52" i="9" s="1"/>
  <c r="B67" i="9" s="1"/>
  <c r="O52" i="9" a="1"/>
  <c r="O52" i="9" s="1"/>
  <c r="H67" i="9" s="1"/>
  <c r="N52" i="9" a="1"/>
  <c r="N52" i="9" s="1"/>
  <c r="B77" i="9" s="1"/>
  <c r="M51" i="9" a="1"/>
  <c r="M51" i="9" s="1"/>
  <c r="O51" i="9" a="1"/>
  <c r="O51" i="9" s="1"/>
  <c r="N51" i="9" a="1"/>
  <c r="N51" i="9" s="1"/>
  <c r="M50" i="9" a="1"/>
  <c r="M50" i="9" s="1"/>
  <c r="O50" i="9" a="1"/>
  <c r="O50" i="9" s="1"/>
  <c r="N50" i="9" a="1"/>
  <c r="N50" i="9" s="1"/>
  <c r="M49" i="9" a="1"/>
  <c r="M49" i="9" s="1"/>
  <c r="O49" i="9" a="1"/>
  <c r="O49" i="9" s="1"/>
  <c r="N49" i="9" a="1"/>
  <c r="N49" i="9" s="1"/>
  <c r="M48" i="9" a="1"/>
  <c r="M48" i="9" s="1"/>
  <c r="O48" i="9" a="1"/>
  <c r="O48" i="9" s="1"/>
  <c r="N48" i="9" a="1"/>
  <c r="N48" i="9" s="1"/>
  <c r="M47" i="9" a="1"/>
  <c r="M47" i="9" s="1"/>
  <c r="O47" i="9" a="1"/>
  <c r="O47" i="9" s="1"/>
  <c r="N47" i="9" a="1"/>
  <c r="N47" i="9" s="1"/>
  <c r="M46" i="9" a="1"/>
  <c r="M46" i="9" s="1"/>
  <c r="B66" i="9" s="1"/>
  <c r="O46" i="9" a="1"/>
  <c r="O46" i="9" s="1"/>
  <c r="H66" i="9" s="1"/>
  <c r="N46" i="9" a="1"/>
  <c r="N46" i="9" s="1"/>
  <c r="B76" i="9" s="1"/>
  <c r="M45" i="9" a="1"/>
  <c r="M45" i="9" s="1"/>
  <c r="O45" i="9" a="1"/>
  <c r="O45" i="9" s="1"/>
  <c r="N45" i="9" a="1"/>
  <c r="N45" i="9" s="1"/>
  <c r="M44" i="9" a="1"/>
  <c r="M44" i="9" s="1"/>
  <c r="O44" i="9" a="1"/>
  <c r="O44" i="9" s="1"/>
  <c r="N44" i="9" a="1"/>
  <c r="N44" i="9" s="1"/>
  <c r="M43" i="9" a="1"/>
  <c r="M43" i="9" s="1"/>
  <c r="O43" i="9" a="1"/>
  <c r="O43" i="9" s="1"/>
  <c r="N43" i="9" a="1"/>
  <c r="N43" i="9" s="1"/>
  <c r="M42" i="9" a="1"/>
  <c r="M42" i="9" s="1"/>
  <c r="O42" i="9" a="1"/>
  <c r="O42" i="9" s="1"/>
  <c r="N42" i="9" a="1"/>
  <c r="N42" i="9" s="1"/>
  <c r="M41" i="9" a="1"/>
  <c r="M41" i="9" s="1"/>
  <c r="O41" i="9" a="1"/>
  <c r="O41" i="9" s="1"/>
  <c r="N41" i="9" a="1"/>
  <c r="N41" i="9" s="1"/>
  <c r="M40" i="9" a="1"/>
  <c r="M40" i="9" s="1"/>
  <c r="B65" i="9" s="1"/>
  <c r="O40" i="9" a="1"/>
  <c r="O40" i="9" s="1"/>
  <c r="H65" i="9" s="1"/>
  <c r="N40" i="9" a="1"/>
  <c r="N40" i="9" s="1"/>
  <c r="B75" i="9" s="1"/>
  <c r="M39" i="9" a="1"/>
  <c r="M39" i="9" s="1"/>
  <c r="O39" i="9" a="1"/>
  <c r="O39" i="9" s="1"/>
  <c r="N39" i="9" a="1"/>
  <c r="N39" i="9" s="1"/>
  <c r="M38" i="9" a="1"/>
  <c r="M38" i="9" s="1"/>
  <c r="O38" i="9" a="1"/>
  <c r="O38" i="9" s="1"/>
  <c r="N38" i="9" a="1"/>
  <c r="N38" i="9" s="1"/>
  <c r="M37" i="9" a="1"/>
  <c r="M37" i="9" s="1"/>
  <c r="O37" i="9" a="1"/>
  <c r="O37" i="9" s="1"/>
  <c r="N37" i="9" a="1"/>
  <c r="N37" i="9" s="1"/>
  <c r="M36" i="9" a="1"/>
  <c r="M36" i="9" s="1"/>
  <c r="O36" i="9" a="1"/>
  <c r="O36" i="9" s="1"/>
  <c r="N36" i="9" a="1"/>
  <c r="N36" i="9" s="1"/>
  <c r="M35" i="9" a="1"/>
  <c r="M35" i="9" s="1"/>
  <c r="O35" i="9" a="1"/>
  <c r="O35" i="9" s="1"/>
  <c r="N35" i="9" a="1"/>
  <c r="N35" i="9" s="1"/>
  <c r="M34" i="9" a="1"/>
  <c r="M34" i="9" s="1"/>
  <c r="B64" i="9" s="1"/>
  <c r="O34" i="9" a="1"/>
  <c r="O34" i="9" s="1"/>
  <c r="H64" i="9" s="1"/>
  <c r="N34" i="9" a="1"/>
  <c r="N34" i="9" s="1"/>
  <c r="B74" i="9" s="1"/>
  <c r="M33" i="9" a="1"/>
  <c r="M33" i="9" s="1"/>
  <c r="O33" i="9" a="1"/>
  <c r="O33" i="9" s="1"/>
  <c r="N33" i="9" a="1"/>
  <c r="N33" i="9" s="1"/>
  <c r="M32" i="9" a="1"/>
  <c r="M32" i="9" s="1"/>
  <c r="O32" i="9" a="1"/>
  <c r="O32" i="9" s="1"/>
  <c r="N32" i="9" a="1"/>
  <c r="N32" i="9" s="1"/>
  <c r="M31" i="9" a="1"/>
  <c r="M31" i="9" s="1"/>
  <c r="O31" i="9" a="1"/>
  <c r="O31" i="9" s="1"/>
  <c r="N31" i="9" a="1"/>
  <c r="N31" i="9" s="1"/>
  <c r="M30" i="9" a="1"/>
  <c r="M30" i="9" s="1"/>
  <c r="O30" i="9" a="1"/>
  <c r="O30" i="9" s="1"/>
  <c r="N30" i="9" a="1"/>
  <c r="N30" i="9" s="1"/>
  <c r="M29" i="9" a="1"/>
  <c r="M29" i="9" s="1"/>
  <c r="O29" i="9" a="1"/>
  <c r="O29" i="9" s="1"/>
  <c r="N29" i="9" a="1"/>
  <c r="N29" i="9" s="1"/>
  <c r="O28" i="9" a="1"/>
  <c r="O28" i="9" s="1"/>
  <c r="H63" i="9" s="1"/>
  <c r="N28" i="9" a="1"/>
  <c r="N28" i="9" s="1"/>
  <c r="B73" i="9" s="1"/>
  <c r="M28" i="9" a="1"/>
  <c r="M28" i="9" s="1"/>
  <c r="M27" i="9" a="1"/>
  <c r="M27" i="9" s="1"/>
  <c r="O27" i="9" a="1"/>
  <c r="O27" i="9" s="1"/>
  <c r="N27" i="9" a="1"/>
  <c r="N27" i="9" s="1"/>
  <c r="M26" i="9" a="1"/>
  <c r="M26" i="9" s="1"/>
  <c r="O26" i="9" a="1"/>
  <c r="O26" i="9" s="1"/>
  <c r="N26" i="9" a="1"/>
  <c r="N26" i="9" s="1"/>
  <c r="M25" i="9" a="1"/>
  <c r="M25" i="9" s="1"/>
  <c r="O25" i="9" a="1"/>
  <c r="O25" i="9" s="1"/>
  <c r="N25" i="9" a="1"/>
  <c r="N25" i="9" s="1"/>
  <c r="M24" i="9" a="1"/>
  <c r="M24" i="9" s="1"/>
  <c r="O24" i="9" a="1"/>
  <c r="O24" i="9" s="1"/>
  <c r="N24" i="9" a="1"/>
  <c r="N24" i="9" s="1"/>
  <c r="M23" i="9" a="1"/>
  <c r="M23" i="9" s="1"/>
  <c r="O23" i="9" a="1"/>
  <c r="O23" i="9" s="1"/>
  <c r="N23" i="9" a="1"/>
  <c r="N23" i="9" s="1"/>
  <c r="M22" i="9" a="1"/>
  <c r="M22" i="9" s="1"/>
  <c r="O22" i="9" a="1"/>
  <c r="O22" i="9" s="1"/>
  <c r="N22" i="9" a="1"/>
  <c r="N22" i="9" s="1"/>
  <c r="M21" i="9" a="1"/>
  <c r="M21" i="9" s="1"/>
  <c r="O21" i="9" a="1"/>
  <c r="O21" i="9" s="1"/>
  <c r="I67" i="9" s="1"/>
  <c r="N21" i="9" a="1"/>
  <c r="N21" i="9" s="1"/>
  <c r="C77" i="9" s="1"/>
  <c r="M20" i="9" a="1"/>
  <c r="M20" i="9" s="1"/>
  <c r="O20" i="9" a="1"/>
  <c r="O20" i="9" s="1"/>
  <c r="I66" i="9" s="1"/>
  <c r="N20" i="9" a="1"/>
  <c r="N20" i="9" s="1"/>
  <c r="C76" i="9" s="1"/>
  <c r="M19" i="9" a="1"/>
  <c r="M19" i="9" s="1"/>
  <c r="C65" i="9" s="1"/>
  <c r="O19" i="9" a="1"/>
  <c r="O19" i="9" s="1"/>
  <c r="I65" i="9" s="1"/>
  <c r="N19" i="9" a="1"/>
  <c r="N19" i="9" s="1"/>
  <c r="C75" i="9" s="1"/>
  <c r="M18" i="9" a="1"/>
  <c r="M18" i="9" s="1"/>
  <c r="C64" i="9" s="1"/>
  <c r="O18" i="9" a="1"/>
  <c r="O18" i="9" s="1"/>
  <c r="I64" i="9" s="1"/>
  <c r="N18" i="9" a="1"/>
  <c r="N18" i="9" s="1"/>
  <c r="C74" i="9" s="1"/>
  <c r="O17" i="9" a="1"/>
  <c r="O17" i="9" s="1"/>
  <c r="I63" i="9" s="1"/>
  <c r="N17" i="9" a="1"/>
  <c r="N17" i="9" s="1"/>
  <c r="C73" i="9" s="1"/>
  <c r="M17" i="9" a="1"/>
  <c r="M17" i="9" s="1"/>
  <c r="C67" i="9"/>
  <c r="C66" i="9"/>
  <c r="C63" i="9"/>
  <c r="B191" i="8"/>
  <c r="B195" i="8" s="1"/>
  <c r="H191" i="8"/>
  <c r="H195" i="8" s="1"/>
  <c r="G191" i="8"/>
  <c r="G195" i="8" s="1"/>
  <c r="F191" i="8"/>
  <c r="F195" i="8" s="1"/>
  <c r="E191" i="8"/>
  <c r="E195" i="8" s="1"/>
  <c r="D191" i="8"/>
  <c r="D195" i="8" s="1"/>
  <c r="C191" i="8"/>
  <c r="C195" i="8" s="1"/>
  <c r="H201" i="8"/>
  <c r="G201" i="8"/>
  <c r="F201" i="8"/>
  <c r="E201" i="8"/>
  <c r="D201" i="8"/>
  <c r="C201" i="8"/>
  <c r="B201" i="8"/>
  <c r="I201" i="8" s="1"/>
  <c r="H200" i="8"/>
  <c r="G200" i="8"/>
  <c r="F200" i="8"/>
  <c r="E200" i="8"/>
  <c r="D200" i="8"/>
  <c r="C200" i="8"/>
  <c r="B200" i="8"/>
  <c r="I200" i="8" s="1"/>
  <c r="H199" i="8"/>
  <c r="G199" i="8"/>
  <c r="F199" i="8"/>
  <c r="E199" i="8"/>
  <c r="D199" i="8"/>
  <c r="C199" i="8"/>
  <c r="B199" i="8"/>
  <c r="I199" i="8" s="1"/>
  <c r="H198" i="8"/>
  <c r="G198" i="8"/>
  <c r="F198" i="8"/>
  <c r="E198" i="8"/>
  <c r="D198" i="8"/>
  <c r="C198" i="8"/>
  <c r="B198" i="8"/>
  <c r="I198" i="8" s="1"/>
  <c r="H197" i="8"/>
  <c r="G197" i="8"/>
  <c r="F197" i="8"/>
  <c r="E197" i="8"/>
  <c r="D197" i="8"/>
  <c r="C197" i="8"/>
  <c r="B197" i="8"/>
  <c r="I197" i="8" s="1"/>
  <c r="H196" i="8"/>
  <c r="G196" i="8"/>
  <c r="F196" i="8"/>
  <c r="E196" i="8"/>
  <c r="D196" i="8"/>
  <c r="C196" i="8"/>
  <c r="B196" i="8"/>
  <c r="I196" i="8" s="1"/>
  <c r="B212" i="8"/>
  <c r="B216" i="8" s="1"/>
  <c r="B222" i="8"/>
  <c r="B221" i="8"/>
  <c r="B220" i="8"/>
  <c r="B219" i="8"/>
  <c r="B218" i="8"/>
  <c r="B217" i="8"/>
  <c r="B233" i="8"/>
  <c r="C233" i="8"/>
  <c r="D233" i="8"/>
  <c r="E233" i="8"/>
  <c r="F233" i="8"/>
  <c r="G233" i="8"/>
  <c r="H233" i="8"/>
  <c r="C212" i="8"/>
  <c r="D212" i="8"/>
  <c r="E212" i="8"/>
  <c r="F212" i="8"/>
  <c r="G212" i="8"/>
  <c r="H212" i="8"/>
  <c r="B170" i="8"/>
  <c r="C170" i="8"/>
  <c r="D170" i="8"/>
  <c r="E170" i="8"/>
  <c r="F170" i="8"/>
  <c r="G170" i="8"/>
  <c r="H170" i="8"/>
  <c r="B149" i="8"/>
  <c r="C149" i="8"/>
  <c r="D149" i="8"/>
  <c r="E149" i="8"/>
  <c r="F149" i="8"/>
  <c r="G149" i="8"/>
  <c r="H149" i="8"/>
  <c r="B128" i="8"/>
  <c r="C128" i="8"/>
  <c r="D128" i="8"/>
  <c r="E128" i="8"/>
  <c r="F128" i="8"/>
  <c r="G128" i="8"/>
  <c r="H128" i="8"/>
  <c r="B107" i="8"/>
  <c r="C107" i="8"/>
  <c r="D107" i="8"/>
  <c r="E107" i="8"/>
  <c r="F107" i="8"/>
  <c r="G107" i="8"/>
  <c r="H107" i="8"/>
  <c r="B86" i="8"/>
  <c r="C86" i="8"/>
  <c r="D86" i="8"/>
  <c r="E86" i="8"/>
  <c r="F86" i="8"/>
  <c r="G86" i="8"/>
  <c r="H86" i="8"/>
  <c r="H42" i="8"/>
  <c r="H46" i="8" s="1"/>
  <c r="G42" i="8"/>
  <c r="G46" i="8" s="1"/>
  <c r="F42" i="8"/>
  <c r="F46" i="8" s="1"/>
  <c r="E42" i="8"/>
  <c r="E46" i="8" s="1"/>
  <c r="D42" i="8"/>
  <c r="D46" i="8" s="1"/>
  <c r="C42" i="8"/>
  <c r="C46" i="8" s="1"/>
  <c r="H52" i="8"/>
  <c r="G52" i="8"/>
  <c r="F52" i="8"/>
  <c r="E52" i="8"/>
  <c r="D52" i="8"/>
  <c r="C52" i="8"/>
  <c r="H51" i="8"/>
  <c r="G51" i="8"/>
  <c r="F51" i="8"/>
  <c r="E51" i="8"/>
  <c r="D51" i="8"/>
  <c r="C51" i="8"/>
  <c r="H50" i="8"/>
  <c r="G50" i="8"/>
  <c r="F50" i="8"/>
  <c r="E50" i="8"/>
  <c r="D50" i="8"/>
  <c r="C50" i="8"/>
  <c r="H49" i="8"/>
  <c r="G49" i="8"/>
  <c r="F49" i="8"/>
  <c r="E49" i="8"/>
  <c r="D49" i="8"/>
  <c r="C49" i="8"/>
  <c r="H48" i="8"/>
  <c r="G48" i="8"/>
  <c r="F48" i="8"/>
  <c r="E48" i="8"/>
  <c r="D48" i="8"/>
  <c r="C48" i="8"/>
  <c r="H47" i="8"/>
  <c r="G47" i="8"/>
  <c r="F47" i="8"/>
  <c r="E47" i="8"/>
  <c r="D47" i="8"/>
  <c r="C47" i="8"/>
  <c r="B42" i="8"/>
  <c r="B47" i="8"/>
  <c r="I47" i="8" s="1"/>
  <c r="B48" i="8"/>
  <c r="I48" i="8" s="1"/>
  <c r="B49" i="8"/>
  <c r="I49" i="8" s="1"/>
  <c r="B50" i="8"/>
  <c r="I50" i="8" s="1"/>
  <c r="B51" i="8"/>
  <c r="I51" i="8" s="1"/>
  <c r="B52" i="8"/>
  <c r="I52" i="8" s="1"/>
  <c r="B46" i="8"/>
  <c r="I46" i="8" s="1"/>
  <c r="B64" i="8"/>
  <c r="C64" i="8"/>
  <c r="D64" i="8"/>
  <c r="E64" i="8"/>
  <c r="F64" i="8"/>
  <c r="G64" i="8"/>
  <c r="H64" i="8"/>
  <c r="B13" i="8"/>
  <c r="B19" i="8"/>
  <c r="B21" i="8"/>
  <c r="B22" i="8"/>
  <c r="B23" i="8"/>
  <c r="B24" i="8"/>
  <c r="B25" i="8"/>
  <c r="B26" i="8"/>
  <c r="C13" i="8"/>
  <c r="C20" i="8"/>
  <c r="C21" i="8"/>
  <c r="C22" i="8"/>
  <c r="C23" i="8"/>
  <c r="C24" i="8"/>
  <c r="C25" i="8"/>
  <c r="C26" i="8"/>
  <c r="D13" i="8"/>
  <c r="D21" i="8"/>
  <c r="D22" i="8"/>
  <c r="D23" i="8"/>
  <c r="D24" i="8"/>
  <c r="D25" i="8"/>
  <c r="D26" i="8"/>
  <c r="E13" i="8"/>
  <c r="E22" i="8"/>
  <c r="E23" i="8"/>
  <c r="E24" i="8"/>
  <c r="E25" i="8"/>
  <c r="E26" i="8"/>
  <c r="F23" i="8"/>
  <c r="F24" i="8"/>
  <c r="F25" i="8"/>
  <c r="F26" i="8"/>
  <c r="G13" i="8"/>
  <c r="G24" i="8"/>
  <c r="G25" i="8"/>
  <c r="G26" i="8"/>
  <c r="H13" i="8"/>
  <c r="H25" i="8"/>
  <c r="H26" i="8"/>
  <c r="I11" i="8"/>
  <c r="J13" i="8"/>
  <c r="K18" i="8"/>
  <c r="K19" i="8"/>
  <c r="K20" i="8"/>
  <c r="K21" i="8"/>
  <c r="K22" i="8"/>
  <c r="K23" i="8"/>
  <c r="K24" i="8"/>
  <c r="K25" i="8"/>
  <c r="K26" i="8"/>
  <c r="K17" i="8"/>
  <c r="K27" i="8" s="1"/>
  <c r="B38" i="6"/>
  <c r="B39" i="6"/>
  <c r="B40" i="6"/>
  <c r="B41" i="6"/>
  <c r="B42" i="6"/>
  <c r="B43" i="6"/>
  <c r="B37" i="6"/>
  <c r="B50" i="6"/>
  <c r="B51" i="6"/>
  <c r="B52" i="6"/>
  <c r="B53" i="6"/>
  <c r="B54" i="6"/>
  <c r="B55" i="6"/>
  <c r="B49" i="6"/>
  <c r="B26" i="6"/>
  <c r="B27" i="6"/>
  <c r="B28" i="6"/>
  <c r="B29" i="6"/>
  <c r="B30" i="6"/>
  <c r="B31" i="6"/>
  <c r="K20" i="6"/>
  <c r="K21" i="6"/>
  <c r="J20" i="6"/>
  <c r="J21" i="6"/>
  <c r="I21" i="6"/>
  <c r="I20" i="6"/>
  <c r="H21" i="6"/>
  <c r="H20" i="6"/>
  <c r="G20" i="6"/>
  <c r="G21" i="6"/>
  <c r="F20" i="6"/>
  <c r="F21" i="6"/>
  <c r="E21" i="6"/>
  <c r="E20" i="6"/>
  <c r="D21" i="6"/>
  <c r="D20" i="6"/>
  <c r="C21" i="6"/>
  <c r="C20" i="6"/>
  <c r="B21" i="6"/>
  <c r="B20" i="6"/>
  <c r="B61" i="9" l="1"/>
  <c r="B71" i="9"/>
  <c r="H61" i="9"/>
  <c r="B65" i="10"/>
  <c r="C62" i="10"/>
  <c r="C65" i="10"/>
  <c r="B64" i="10"/>
  <c r="B67" i="10"/>
  <c r="C73" i="10"/>
  <c r="D73" i="10" s="1"/>
  <c r="B74" i="10"/>
  <c r="D74" i="10" s="1"/>
  <c r="C83" i="10"/>
  <c r="D83" i="10" s="1"/>
  <c r="B84" i="10"/>
  <c r="D84" i="10" s="1"/>
  <c r="I63" i="10"/>
  <c r="J63" i="10" s="1"/>
  <c r="H64" i="10"/>
  <c r="J64" i="10" s="1"/>
  <c r="C72" i="10"/>
  <c r="D72" i="10" s="1"/>
  <c r="B75" i="10"/>
  <c r="D75" i="10" s="1"/>
  <c r="C82" i="10"/>
  <c r="D82" i="10" s="1"/>
  <c r="B85" i="10"/>
  <c r="D85" i="10" s="1"/>
  <c r="I62" i="10"/>
  <c r="J62" i="10" s="1"/>
  <c r="H65" i="10"/>
  <c r="J65" i="10" s="1"/>
  <c r="D76" i="10"/>
  <c r="D86" i="10"/>
  <c r="J66" i="10"/>
  <c r="D77" i="10"/>
  <c r="D87" i="10"/>
  <c r="J67" i="10"/>
  <c r="D78" i="10"/>
  <c r="E78" i="10" s="1"/>
  <c r="D88" i="10"/>
  <c r="E88" i="10" s="1"/>
  <c r="J68" i="10"/>
  <c r="K68" i="10" s="1"/>
  <c r="C66" i="10"/>
  <c r="D63" i="10"/>
  <c r="D62" i="10"/>
  <c r="C71" i="9"/>
  <c r="B72" i="9"/>
  <c r="I61" i="9"/>
  <c r="H62" i="9"/>
  <c r="C61" i="9"/>
  <c r="B62" i="9"/>
  <c r="D73" i="9"/>
  <c r="J63" i="9"/>
  <c r="D75" i="9"/>
  <c r="D76" i="9"/>
  <c r="D74" i="9"/>
  <c r="J64" i="9"/>
  <c r="J65" i="9"/>
  <c r="D65" i="9"/>
  <c r="J66" i="9"/>
  <c r="D77" i="9"/>
  <c r="J67" i="9"/>
  <c r="C62" i="9"/>
  <c r="C72" i="9"/>
  <c r="D71" i="9"/>
  <c r="D83" i="9"/>
  <c r="D84" i="9"/>
  <c r="D85" i="9"/>
  <c r="D86" i="9"/>
  <c r="D87" i="9"/>
  <c r="I62" i="9"/>
  <c r="J61" i="9"/>
  <c r="C82" i="9"/>
  <c r="D64" i="10"/>
  <c r="D65" i="10"/>
  <c r="D66" i="10"/>
  <c r="D67" i="10"/>
  <c r="D68" i="10"/>
  <c r="B63" i="9"/>
  <c r="D63" i="9" s="1"/>
  <c r="D64" i="9"/>
  <c r="D66" i="9"/>
  <c r="D67" i="9"/>
  <c r="D61" i="9"/>
  <c r="H68" i="8"/>
  <c r="H74" i="8"/>
  <c r="H73" i="8"/>
  <c r="H72" i="8"/>
  <c r="H71" i="8"/>
  <c r="H70" i="8"/>
  <c r="H69" i="8"/>
  <c r="G68" i="8"/>
  <c r="G74" i="8"/>
  <c r="G73" i="8"/>
  <c r="G72" i="8"/>
  <c r="G71" i="8"/>
  <c r="G70" i="8"/>
  <c r="G69" i="8"/>
  <c r="F68" i="8"/>
  <c r="F74" i="8"/>
  <c r="F73" i="8"/>
  <c r="F72" i="8"/>
  <c r="F71" i="8"/>
  <c r="F70" i="8"/>
  <c r="F69" i="8"/>
  <c r="D68" i="8"/>
  <c r="D74" i="8"/>
  <c r="D73" i="8"/>
  <c r="D72" i="8"/>
  <c r="D71" i="8"/>
  <c r="D70" i="8"/>
  <c r="D69" i="8"/>
  <c r="C68" i="8"/>
  <c r="C74" i="8"/>
  <c r="C73" i="8"/>
  <c r="C72" i="8"/>
  <c r="C71" i="8"/>
  <c r="C70" i="8"/>
  <c r="C69" i="8"/>
  <c r="H90" i="8"/>
  <c r="H96" i="8"/>
  <c r="H95" i="8"/>
  <c r="H94" i="8"/>
  <c r="H93" i="8"/>
  <c r="H92" i="8"/>
  <c r="H91" i="8"/>
  <c r="G90" i="8"/>
  <c r="G96" i="8"/>
  <c r="G95" i="8"/>
  <c r="G94" i="8"/>
  <c r="G93" i="8"/>
  <c r="G92" i="8"/>
  <c r="G91" i="8"/>
  <c r="F90" i="8"/>
  <c r="F96" i="8"/>
  <c r="F95" i="8"/>
  <c r="F94" i="8"/>
  <c r="F93" i="8"/>
  <c r="F92" i="8"/>
  <c r="F91" i="8"/>
  <c r="E90" i="8"/>
  <c r="E96" i="8"/>
  <c r="E95" i="8"/>
  <c r="E94" i="8"/>
  <c r="E93" i="8"/>
  <c r="E92" i="8"/>
  <c r="E91" i="8"/>
  <c r="D90" i="8"/>
  <c r="D96" i="8"/>
  <c r="D95" i="8"/>
  <c r="D94" i="8"/>
  <c r="D93" i="8"/>
  <c r="D92" i="8"/>
  <c r="D91" i="8"/>
  <c r="C90" i="8"/>
  <c r="C96" i="8"/>
  <c r="C95" i="8"/>
  <c r="C94" i="8"/>
  <c r="C93" i="8"/>
  <c r="C92" i="8"/>
  <c r="C91" i="8"/>
  <c r="B90" i="8"/>
  <c r="I90" i="8" s="1"/>
  <c r="B96" i="8"/>
  <c r="I96" i="8" s="1"/>
  <c r="B95" i="8"/>
  <c r="I95" i="8" s="1"/>
  <c r="B94" i="8"/>
  <c r="I94" i="8" s="1"/>
  <c r="B93" i="8"/>
  <c r="I93" i="8" s="1"/>
  <c r="B92" i="8"/>
  <c r="I92" i="8" s="1"/>
  <c r="B91" i="8"/>
  <c r="I91" i="8" s="1"/>
  <c r="H111" i="8"/>
  <c r="H117" i="8"/>
  <c r="H116" i="8"/>
  <c r="H115" i="8"/>
  <c r="H114" i="8"/>
  <c r="H113" i="8"/>
  <c r="H112" i="8"/>
  <c r="G111" i="8"/>
  <c r="G117" i="8"/>
  <c r="G116" i="8"/>
  <c r="G115" i="8"/>
  <c r="G114" i="8"/>
  <c r="G113" i="8"/>
  <c r="G112" i="8"/>
  <c r="F111" i="8"/>
  <c r="F117" i="8"/>
  <c r="F116" i="8"/>
  <c r="F115" i="8"/>
  <c r="F114" i="8"/>
  <c r="F113" i="8"/>
  <c r="F112" i="8"/>
  <c r="E111" i="8"/>
  <c r="E117" i="8"/>
  <c r="E116" i="8"/>
  <c r="E115" i="8"/>
  <c r="E114" i="8"/>
  <c r="E113" i="8"/>
  <c r="E112" i="8"/>
  <c r="D111" i="8"/>
  <c r="D117" i="8"/>
  <c r="D116" i="8"/>
  <c r="D115" i="8"/>
  <c r="D114" i="8"/>
  <c r="D113" i="8"/>
  <c r="D112" i="8"/>
  <c r="C111" i="8"/>
  <c r="C117" i="8"/>
  <c r="C116" i="8"/>
  <c r="C115" i="8"/>
  <c r="C114" i="8"/>
  <c r="C113" i="8"/>
  <c r="C112" i="8"/>
  <c r="B111" i="8"/>
  <c r="B117" i="8"/>
  <c r="I117" i="8" s="1"/>
  <c r="B116" i="8"/>
  <c r="I116" i="8" s="1"/>
  <c r="B115" i="8"/>
  <c r="I115" i="8" s="1"/>
  <c r="B114" i="8"/>
  <c r="I114" i="8" s="1"/>
  <c r="B113" i="8"/>
  <c r="I113" i="8" s="1"/>
  <c r="B112" i="8"/>
  <c r="I112" i="8" s="1"/>
  <c r="H132" i="8"/>
  <c r="H138" i="8"/>
  <c r="H137" i="8"/>
  <c r="H136" i="8"/>
  <c r="H135" i="8"/>
  <c r="H134" i="8"/>
  <c r="H133" i="8"/>
  <c r="G132" i="8"/>
  <c r="G138" i="8"/>
  <c r="G137" i="8"/>
  <c r="G136" i="8"/>
  <c r="G135" i="8"/>
  <c r="G134" i="8"/>
  <c r="G133" i="8"/>
  <c r="F132" i="8"/>
  <c r="F138" i="8"/>
  <c r="F137" i="8"/>
  <c r="F136" i="8"/>
  <c r="F135" i="8"/>
  <c r="F134" i="8"/>
  <c r="F133" i="8"/>
  <c r="E132" i="8"/>
  <c r="E138" i="8"/>
  <c r="E137" i="8"/>
  <c r="E136" i="8"/>
  <c r="E135" i="8"/>
  <c r="E134" i="8"/>
  <c r="E133" i="8"/>
  <c r="D132" i="8"/>
  <c r="D138" i="8"/>
  <c r="D137" i="8"/>
  <c r="D136" i="8"/>
  <c r="D135" i="8"/>
  <c r="D134" i="8"/>
  <c r="D133" i="8"/>
  <c r="C132" i="8"/>
  <c r="C138" i="8"/>
  <c r="C137" i="8"/>
  <c r="C136" i="8"/>
  <c r="C135" i="8"/>
  <c r="C134" i="8"/>
  <c r="C133" i="8"/>
  <c r="B132" i="8"/>
  <c r="B138" i="8"/>
  <c r="I138" i="8" s="1"/>
  <c r="B137" i="8"/>
  <c r="I137" i="8" s="1"/>
  <c r="B136" i="8"/>
  <c r="I136" i="8" s="1"/>
  <c r="B135" i="8"/>
  <c r="I135" i="8" s="1"/>
  <c r="B134" i="8"/>
  <c r="I134" i="8" s="1"/>
  <c r="B133" i="8"/>
  <c r="I133" i="8" s="1"/>
  <c r="H153" i="8"/>
  <c r="H159" i="8"/>
  <c r="H158" i="8"/>
  <c r="H157" i="8"/>
  <c r="H156" i="8"/>
  <c r="H155" i="8"/>
  <c r="H154" i="8"/>
  <c r="G153" i="8"/>
  <c r="G159" i="8"/>
  <c r="G158" i="8"/>
  <c r="G157" i="8"/>
  <c r="G156" i="8"/>
  <c r="G155" i="8"/>
  <c r="G154" i="8"/>
  <c r="F153" i="8"/>
  <c r="F159" i="8"/>
  <c r="F158" i="8"/>
  <c r="F157" i="8"/>
  <c r="F156" i="8"/>
  <c r="F155" i="8"/>
  <c r="F154" i="8"/>
  <c r="E153" i="8"/>
  <c r="E159" i="8"/>
  <c r="E158" i="8"/>
  <c r="E157" i="8"/>
  <c r="E156" i="8"/>
  <c r="E155" i="8"/>
  <c r="E154" i="8"/>
  <c r="D153" i="8"/>
  <c r="D159" i="8"/>
  <c r="D158" i="8"/>
  <c r="D157" i="8"/>
  <c r="D156" i="8"/>
  <c r="D155" i="8"/>
  <c r="D154" i="8"/>
  <c r="C153" i="8"/>
  <c r="C159" i="8"/>
  <c r="C158" i="8"/>
  <c r="C157" i="8"/>
  <c r="C156" i="8"/>
  <c r="C155" i="8"/>
  <c r="C154" i="8"/>
  <c r="B153" i="8"/>
  <c r="B159" i="8"/>
  <c r="I159" i="8" s="1"/>
  <c r="B158" i="8"/>
  <c r="I158" i="8" s="1"/>
  <c r="B157" i="8"/>
  <c r="I157" i="8" s="1"/>
  <c r="B156" i="8"/>
  <c r="I156" i="8" s="1"/>
  <c r="B155" i="8"/>
  <c r="I155" i="8" s="1"/>
  <c r="B154" i="8"/>
  <c r="I154" i="8" s="1"/>
  <c r="H174" i="8"/>
  <c r="H180" i="8"/>
  <c r="H179" i="8"/>
  <c r="H178" i="8"/>
  <c r="H177" i="8"/>
  <c r="H176" i="8"/>
  <c r="H175" i="8"/>
  <c r="G174" i="8"/>
  <c r="G180" i="8"/>
  <c r="G179" i="8"/>
  <c r="G178" i="8"/>
  <c r="G177" i="8"/>
  <c r="G176" i="8"/>
  <c r="G175" i="8"/>
  <c r="F174" i="8"/>
  <c r="F180" i="8"/>
  <c r="F179" i="8"/>
  <c r="F178" i="8"/>
  <c r="F177" i="8"/>
  <c r="F176" i="8"/>
  <c r="F175" i="8"/>
  <c r="E174" i="8"/>
  <c r="E180" i="8"/>
  <c r="E179" i="8"/>
  <c r="E178" i="8"/>
  <c r="E177" i="8"/>
  <c r="E176" i="8"/>
  <c r="E175" i="8"/>
  <c r="D174" i="8"/>
  <c r="D180" i="8"/>
  <c r="D179" i="8"/>
  <c r="D178" i="8"/>
  <c r="D177" i="8"/>
  <c r="D176" i="8"/>
  <c r="D175" i="8"/>
  <c r="C174" i="8"/>
  <c r="C180" i="8"/>
  <c r="C179" i="8"/>
  <c r="C178" i="8"/>
  <c r="C177" i="8"/>
  <c r="C176" i="8"/>
  <c r="C175" i="8"/>
  <c r="B174" i="8"/>
  <c r="B180" i="8"/>
  <c r="I180" i="8" s="1"/>
  <c r="B179" i="8"/>
  <c r="I179" i="8" s="1"/>
  <c r="B178" i="8"/>
  <c r="I178" i="8" s="1"/>
  <c r="B177" i="8"/>
  <c r="I177" i="8" s="1"/>
  <c r="B176" i="8"/>
  <c r="I176" i="8" s="1"/>
  <c r="B175" i="8"/>
  <c r="I175" i="8" s="1"/>
  <c r="H216" i="8"/>
  <c r="H222" i="8"/>
  <c r="H221" i="8"/>
  <c r="H220" i="8"/>
  <c r="H219" i="8"/>
  <c r="H218" i="8"/>
  <c r="H217" i="8"/>
  <c r="G216" i="8"/>
  <c r="G222" i="8"/>
  <c r="G221" i="8"/>
  <c r="G220" i="8"/>
  <c r="G219" i="8"/>
  <c r="G218" i="8"/>
  <c r="G217" i="8"/>
  <c r="F216" i="8"/>
  <c r="F222" i="8"/>
  <c r="F221" i="8"/>
  <c r="F220" i="8"/>
  <c r="F219" i="8"/>
  <c r="F218" i="8"/>
  <c r="F217" i="8"/>
  <c r="E216" i="8"/>
  <c r="E222" i="8"/>
  <c r="E221" i="8"/>
  <c r="E220" i="8"/>
  <c r="E219" i="8"/>
  <c r="E218" i="8"/>
  <c r="E217" i="8"/>
  <c r="D216" i="8"/>
  <c r="D222" i="8"/>
  <c r="D221" i="8"/>
  <c r="D220" i="8"/>
  <c r="D219" i="8"/>
  <c r="D218" i="8"/>
  <c r="D217" i="8"/>
  <c r="C216" i="8"/>
  <c r="C222" i="8"/>
  <c r="C221" i="8"/>
  <c r="C220" i="8"/>
  <c r="C219" i="8"/>
  <c r="C218" i="8"/>
  <c r="C217" i="8"/>
  <c r="H237" i="8"/>
  <c r="H243" i="8"/>
  <c r="H242" i="8"/>
  <c r="H241" i="8"/>
  <c r="H240" i="8"/>
  <c r="H239" i="8"/>
  <c r="H238" i="8"/>
  <c r="G237" i="8"/>
  <c r="G243" i="8"/>
  <c r="G242" i="8"/>
  <c r="G241" i="8"/>
  <c r="G240" i="8"/>
  <c r="G239" i="8"/>
  <c r="G238" i="8"/>
  <c r="F237" i="8"/>
  <c r="F243" i="8"/>
  <c r="F242" i="8"/>
  <c r="F241" i="8"/>
  <c r="F240" i="8"/>
  <c r="F239" i="8"/>
  <c r="F238" i="8"/>
  <c r="E237" i="8"/>
  <c r="E243" i="8"/>
  <c r="E242" i="8"/>
  <c r="E241" i="8"/>
  <c r="E240" i="8"/>
  <c r="E239" i="8"/>
  <c r="E238" i="8"/>
  <c r="D237" i="8"/>
  <c r="D243" i="8"/>
  <c r="D242" i="8"/>
  <c r="D241" i="8"/>
  <c r="D240" i="8"/>
  <c r="D239" i="8"/>
  <c r="D238" i="8"/>
  <c r="C237" i="8"/>
  <c r="C243" i="8"/>
  <c r="C242" i="8"/>
  <c r="C241" i="8"/>
  <c r="C240" i="8"/>
  <c r="C239" i="8"/>
  <c r="C238" i="8"/>
  <c r="B237" i="8"/>
  <c r="B243" i="8"/>
  <c r="I243" i="8" s="1"/>
  <c r="B242" i="8"/>
  <c r="I242" i="8" s="1"/>
  <c r="B241" i="8"/>
  <c r="I241" i="8" s="1"/>
  <c r="B240" i="8"/>
  <c r="I240" i="8" s="1"/>
  <c r="B239" i="8"/>
  <c r="I239" i="8" s="1"/>
  <c r="B238" i="8"/>
  <c r="I238" i="8" s="1"/>
  <c r="I217" i="8"/>
  <c r="I218" i="8"/>
  <c r="I219" i="8"/>
  <c r="I220" i="8"/>
  <c r="I221" i="8"/>
  <c r="I222" i="8"/>
  <c r="I237" i="8"/>
  <c r="I216" i="8"/>
  <c r="I195" i="8"/>
  <c r="I174" i="8"/>
  <c r="I153" i="8"/>
  <c r="I132" i="8"/>
  <c r="I111" i="8"/>
  <c r="B69" i="8"/>
  <c r="B70" i="8"/>
  <c r="B71" i="8"/>
  <c r="B72" i="8"/>
  <c r="B73" i="8"/>
  <c r="B74" i="8"/>
  <c r="B68" i="8"/>
  <c r="E69" i="8"/>
  <c r="I69" i="8" s="1"/>
  <c r="E70" i="8"/>
  <c r="I70" i="8" s="1"/>
  <c r="E71" i="8"/>
  <c r="I71" i="8" s="1"/>
  <c r="E72" i="8"/>
  <c r="I72" i="8" s="1"/>
  <c r="E73" i="8"/>
  <c r="I73" i="8" s="1"/>
  <c r="E74" i="8"/>
  <c r="I74" i="8" s="1"/>
  <c r="E68" i="8"/>
  <c r="I68" i="8"/>
  <c r="B20" i="8"/>
  <c r="B17" i="8"/>
  <c r="J18" i="8"/>
  <c r="J19" i="8"/>
  <c r="J20" i="8"/>
  <c r="J21" i="8"/>
  <c r="J22" i="8"/>
  <c r="J23" i="8"/>
  <c r="J24" i="8"/>
  <c r="J25" i="8"/>
  <c r="J17" i="8"/>
  <c r="J26" i="8"/>
  <c r="I13" i="8"/>
  <c r="H18" i="8"/>
  <c r="H19" i="8"/>
  <c r="H20" i="8"/>
  <c r="H21" i="8"/>
  <c r="H22" i="8"/>
  <c r="H23" i="8"/>
  <c r="H17" i="8"/>
  <c r="H24" i="8"/>
  <c r="G18" i="8"/>
  <c r="G19" i="8"/>
  <c r="G20" i="8"/>
  <c r="G21" i="8"/>
  <c r="G22" i="8"/>
  <c r="G17" i="8"/>
  <c r="G23" i="8"/>
  <c r="F18" i="8"/>
  <c r="F19" i="8"/>
  <c r="F20" i="8"/>
  <c r="F21" i="8"/>
  <c r="F17" i="8"/>
  <c r="F22" i="8"/>
  <c r="E18" i="8"/>
  <c r="E19" i="8"/>
  <c r="E20" i="8"/>
  <c r="E17" i="8"/>
  <c r="E21" i="8"/>
  <c r="D18" i="8"/>
  <c r="D19" i="8"/>
  <c r="D17" i="8"/>
  <c r="D20" i="8"/>
  <c r="C18" i="8"/>
  <c r="C17" i="8"/>
  <c r="C19" i="8"/>
  <c r="B18" i="8"/>
  <c r="K33" i="6"/>
  <c r="K32" i="6"/>
  <c r="J33" i="6"/>
  <c r="J32" i="6"/>
  <c r="I33" i="6"/>
  <c r="I32" i="6"/>
  <c r="H33" i="6"/>
  <c r="H32" i="6"/>
  <c r="G33" i="6"/>
  <c r="G32" i="6"/>
  <c r="F32" i="6"/>
  <c r="F33" i="6"/>
  <c r="E33" i="6"/>
  <c r="D32" i="6"/>
  <c r="D33" i="6"/>
  <c r="C32" i="6"/>
  <c r="C33" i="6"/>
  <c r="B33" i="6"/>
  <c r="B32" i="6"/>
  <c r="B57" i="6"/>
  <c r="B56" i="6"/>
  <c r="K57" i="6"/>
  <c r="K56" i="6"/>
  <c r="J57" i="6"/>
  <c r="J56" i="6"/>
  <c r="I57" i="6"/>
  <c r="I56" i="6"/>
  <c r="H57" i="6"/>
  <c r="H56" i="6"/>
  <c r="G57" i="6"/>
  <c r="G56" i="6"/>
  <c r="F57" i="6"/>
  <c r="F56" i="6"/>
  <c r="E57" i="6"/>
  <c r="E56" i="6"/>
  <c r="D57" i="6"/>
  <c r="D56" i="6"/>
  <c r="C57" i="6"/>
  <c r="C56" i="6"/>
  <c r="B45" i="6"/>
  <c r="B44" i="6"/>
  <c r="J45" i="6"/>
  <c r="J44" i="6"/>
  <c r="I45" i="6"/>
  <c r="I44" i="6"/>
  <c r="H45" i="6"/>
  <c r="H44" i="6"/>
  <c r="G45" i="6"/>
  <c r="G44" i="6"/>
  <c r="F45" i="6"/>
  <c r="F44" i="6"/>
  <c r="E45" i="6"/>
  <c r="E44" i="6"/>
  <c r="D45" i="6"/>
  <c r="D44" i="6"/>
  <c r="C45" i="6"/>
  <c r="C44" i="6"/>
  <c r="K45" i="6"/>
  <c r="K44" i="6"/>
  <c r="M50" i="6"/>
  <c r="M51" i="6"/>
  <c r="M52" i="6"/>
  <c r="M53" i="6"/>
  <c r="M54" i="6"/>
  <c r="M55" i="6"/>
  <c r="M49" i="6"/>
  <c r="L50" i="6"/>
  <c r="L51" i="6"/>
  <c r="L52" i="6"/>
  <c r="L53" i="6"/>
  <c r="L54" i="6"/>
  <c r="L55" i="6"/>
  <c r="L49" i="6"/>
  <c r="M38" i="6"/>
  <c r="M39" i="6"/>
  <c r="M40" i="6"/>
  <c r="M41" i="6"/>
  <c r="M42" i="6"/>
  <c r="M43" i="6"/>
  <c r="M37" i="6"/>
  <c r="L37" i="6"/>
  <c r="N37" i="6"/>
  <c r="L38" i="6"/>
  <c r="L39" i="6"/>
  <c r="N39" i="6"/>
  <c r="L40" i="6"/>
  <c r="N40" i="6"/>
  <c r="L41" i="6"/>
  <c r="N41" i="6"/>
  <c r="L42" i="6"/>
  <c r="N42" i="6"/>
  <c r="L43" i="6"/>
  <c r="N43" i="6"/>
  <c r="L25" i="6"/>
  <c r="M13" i="6"/>
  <c r="L13" i="6"/>
  <c r="N13" i="6"/>
  <c r="M14" i="6"/>
  <c r="L14" i="6"/>
  <c r="N14" i="6"/>
  <c r="M15" i="6"/>
  <c r="L15" i="6"/>
  <c r="N15" i="6"/>
  <c r="M16" i="6"/>
  <c r="L16" i="6"/>
  <c r="N16" i="6"/>
  <c r="M17" i="6"/>
  <c r="L17" i="6"/>
  <c r="N17" i="6"/>
  <c r="M18" i="6"/>
  <c r="L18" i="6"/>
  <c r="N18" i="6"/>
  <c r="M19" i="6"/>
  <c r="L19" i="6"/>
  <c r="N19" i="6"/>
  <c r="B2" i="7" a="1"/>
  <c r="B2" i="7"/>
  <c r="F2" i="7"/>
  <c r="F8" i="7"/>
  <c r="F7" i="7"/>
  <c r="F6" i="7"/>
  <c r="F5" i="7"/>
  <c r="F3" i="7"/>
  <c r="F4" i="7"/>
  <c r="F3" i="5" a="1"/>
  <c r="F3" i="5"/>
  <c r="L26" i="6"/>
  <c r="L27" i="6"/>
  <c r="L28" i="6"/>
  <c r="L29" i="6"/>
  <c r="L30" i="6"/>
  <c r="L31" i="6"/>
  <c r="M28" i="6"/>
  <c r="N28" i="6"/>
  <c r="M26" i="6"/>
  <c r="N26" i="6"/>
  <c r="M27" i="6"/>
  <c r="N27" i="6"/>
  <c r="M29" i="6"/>
  <c r="N29" i="6"/>
  <c r="M30" i="6"/>
  <c r="N30" i="6"/>
  <c r="M31" i="6"/>
  <c r="N31" i="6"/>
  <c r="M25" i="6"/>
  <c r="N25" i="6" s="1"/>
  <c r="C2" i="7" a="1"/>
  <c r="C2" i="7"/>
  <c r="G3" i="5" a="1"/>
  <c r="G3" i="5"/>
  <c r="N49" i="6"/>
  <c r="N50" i="6"/>
  <c r="N51" i="6"/>
  <c r="N52" i="6"/>
  <c r="N53" i="6"/>
  <c r="N54" i="6"/>
  <c r="N55" i="6"/>
  <c r="E2" i="7" a="1"/>
  <c r="E2" i="7"/>
  <c r="I3" i="5" a="1"/>
  <c r="I3" i="5"/>
  <c r="K67" i="10" l="1"/>
  <c r="E87" i="10"/>
  <c r="E77" i="10"/>
  <c r="K66" i="10"/>
  <c r="E86" i="10"/>
  <c r="E76" i="10"/>
  <c r="K65" i="10"/>
  <c r="K62" i="10"/>
  <c r="E85" i="10"/>
  <c r="E82" i="10"/>
  <c r="E75" i="10"/>
  <c r="E72" i="10"/>
  <c r="K64" i="10"/>
  <c r="K63" i="10"/>
  <c r="E84" i="10"/>
  <c r="E83" i="10"/>
  <c r="E74" i="10"/>
  <c r="E73" i="10"/>
  <c r="E64" i="10"/>
  <c r="E62" i="10"/>
  <c r="D81" i="9"/>
  <c r="D62" i="9"/>
  <c r="J62" i="9"/>
  <c r="D72" i="9"/>
  <c r="E71" i="9" s="1"/>
  <c r="Q3" i="5"/>
  <c r="E63" i="10"/>
  <c r="Q4" i="5" s="1"/>
  <c r="E68" i="10"/>
  <c r="Q9" i="5" s="1"/>
  <c r="E67" i="10"/>
  <c r="Q8" i="5" s="1"/>
  <c r="E66" i="10"/>
  <c r="Q7" i="5" s="1"/>
  <c r="E65" i="10"/>
  <c r="Q6" i="5" s="1"/>
  <c r="E61" i="9"/>
  <c r="L3" i="5" s="1"/>
  <c r="E63" i="9"/>
  <c r="L5" i="5" s="1"/>
  <c r="B27" i="8"/>
  <c r="C27" i="8"/>
  <c r="D27" i="8"/>
  <c r="E27" i="8"/>
  <c r="F27" i="8"/>
  <c r="G27" i="8"/>
  <c r="H27" i="8"/>
  <c r="I18" i="8"/>
  <c r="L18" i="8" s="1"/>
  <c r="I19" i="8"/>
  <c r="L19" i="8" s="1"/>
  <c r="I20" i="8"/>
  <c r="L20" i="8" s="1"/>
  <c r="I21" i="8"/>
  <c r="L21" i="8" s="1"/>
  <c r="I22" i="8"/>
  <c r="L22" i="8" s="1"/>
  <c r="I23" i="8"/>
  <c r="L23" i="8" s="1"/>
  <c r="I24" i="8"/>
  <c r="L24" i="8" s="1"/>
  <c r="I17" i="8"/>
  <c r="L17" i="8" s="1"/>
  <c r="I26" i="8"/>
  <c r="L26" i="8" s="1"/>
  <c r="I25" i="8"/>
  <c r="L25" i="8" s="1"/>
  <c r="J27" i="8"/>
  <c r="N38" i="6"/>
  <c r="E82" i="9" l="1"/>
  <c r="O4" i="5" s="1"/>
  <c r="E83" i="9"/>
  <c r="O5" i="5" s="1"/>
  <c r="E84" i="9"/>
  <c r="O6" i="5" s="1"/>
  <c r="E85" i="9"/>
  <c r="O7" i="5" s="1"/>
  <c r="E86" i="9"/>
  <c r="O8" i="5" s="1"/>
  <c r="E87" i="9"/>
  <c r="O9" i="5" s="1"/>
  <c r="E81" i="9"/>
  <c r="O3" i="5" s="1"/>
  <c r="E72" i="9"/>
  <c r="M4" i="5" s="1"/>
  <c r="E73" i="9"/>
  <c r="M5" i="5" s="1"/>
  <c r="E74" i="9"/>
  <c r="M6" i="5" s="1"/>
  <c r="E77" i="9"/>
  <c r="M9" i="5" s="1"/>
  <c r="M3" i="5"/>
  <c r="E75" i="9"/>
  <c r="M7" i="5" s="1"/>
  <c r="E76" i="9"/>
  <c r="M8" i="5" s="1"/>
  <c r="K62" i="9"/>
  <c r="N4" i="5" s="1"/>
  <c r="K61" i="9"/>
  <c r="N3" i="5" s="1"/>
  <c r="K67" i="9"/>
  <c r="N9" i="5" s="1"/>
  <c r="K66" i="9"/>
  <c r="N8" i="5" s="1"/>
  <c r="K65" i="9"/>
  <c r="N7" i="5" s="1"/>
  <c r="K64" i="9"/>
  <c r="N6" i="5" s="1"/>
  <c r="K63" i="9"/>
  <c r="N5" i="5" s="1"/>
  <c r="E62" i="9"/>
  <c r="L4" i="5" s="1"/>
  <c r="E64" i="9"/>
  <c r="L6" i="5" s="1"/>
  <c r="E65" i="9"/>
  <c r="L7" i="5" s="1"/>
  <c r="E66" i="9"/>
  <c r="L8" i="5" s="1"/>
  <c r="E67" i="9"/>
  <c r="L9" i="5" s="1"/>
  <c r="J4" i="5"/>
  <c r="J5" i="5"/>
  <c r="J6" i="5"/>
  <c r="J7" i="5"/>
  <c r="J8" i="5"/>
  <c r="J9" i="5"/>
  <c r="I27" i="8"/>
  <c r="L27" i="8" s="1"/>
  <c r="D2" i="7" a="1"/>
  <c r="D2" i="7" s="1"/>
  <c r="H3" i="5" a="1"/>
  <c r="H3" i="5" s="1"/>
  <c r="Q28" i="10" l="1" a="1"/>
  <c r="Q28" i="10" s="1"/>
  <c r="Q27" i="10" a="1"/>
  <c r="Q27" i="10" s="1"/>
  <c r="Q26" i="10" a="1"/>
  <c r="Q26" i="10" s="1"/>
  <c r="Q25" i="10" a="1"/>
  <c r="Q25" i="10" s="1"/>
  <c r="Q24" i="10" a="1"/>
  <c r="Q24" i="10" s="1"/>
  <c r="Q23" i="10" a="1"/>
  <c r="Q23" i="10" s="1"/>
  <c r="Q22" i="10" a="1"/>
  <c r="Q22" i="10" s="1"/>
  <c r="Q21" i="10" a="1"/>
  <c r="Q21" i="10" s="1"/>
  <c r="Q20" i="10" a="1"/>
  <c r="Q20" i="10" s="1"/>
  <c r="Q19" i="10" a="1"/>
  <c r="Q19" i="10" s="1"/>
  <c r="Q18" i="10" a="1"/>
  <c r="Q18" i="10" s="1"/>
  <c r="Q17" i="10" a="1"/>
  <c r="Q17" i="10" s="1"/>
  <c r="Q16" i="10" a="1"/>
  <c r="Q16" i="10" s="1"/>
  <c r="Q57" i="10" a="1"/>
  <c r="Q57" i="10" s="1"/>
  <c r="Q56" i="10" a="1"/>
  <c r="Q56" i="10" s="1"/>
  <c r="Q55" i="10" a="1"/>
  <c r="Q55" i="10" s="1"/>
  <c r="Q54" i="10" a="1"/>
  <c r="Q54" i="10" s="1"/>
  <c r="Q53" i="10" a="1"/>
  <c r="Q53" i="10" s="1"/>
  <c r="Q52" i="10" a="1"/>
  <c r="Q52" i="10" s="1"/>
  <c r="H78" i="10" s="1"/>
  <c r="Q51" i="10" a="1"/>
  <c r="Q51" i="10" s="1"/>
  <c r="Q50" i="10" a="1"/>
  <c r="Q50" i="10" s="1"/>
  <c r="Q49" i="10" a="1"/>
  <c r="Q49" i="10" s="1"/>
  <c r="Q48" i="10" a="1"/>
  <c r="Q48" i="10" s="1"/>
  <c r="Q47" i="10" a="1"/>
  <c r="Q47" i="10" s="1"/>
  <c r="Q46" i="10" a="1"/>
  <c r="Q46" i="10" s="1"/>
  <c r="H77" i="10" s="1"/>
  <c r="Q45" i="10" a="1"/>
  <c r="Q45" i="10" s="1"/>
  <c r="Q44" i="10" a="1"/>
  <c r="Q44" i="10" s="1"/>
  <c r="Q43" i="10" a="1"/>
  <c r="Q43" i="10" s="1"/>
  <c r="Q42" i="10" a="1"/>
  <c r="Q42" i="10" s="1"/>
  <c r="Q41" i="10" a="1"/>
  <c r="Q41" i="10" s="1"/>
  <c r="Q40" i="10" a="1"/>
  <c r="Q40" i="10" s="1"/>
  <c r="H76" i="10" s="1"/>
  <c r="Q39" i="10" a="1"/>
  <c r="Q39" i="10" s="1"/>
  <c r="Q38" i="10" a="1"/>
  <c r="Q38" i="10" s="1"/>
  <c r="Q37" i="10" a="1"/>
  <c r="Q37" i="10" s="1"/>
  <c r="Q36" i="10" a="1"/>
  <c r="Q36" i="10" s="1"/>
  <c r="I74" i="10" s="1"/>
  <c r="Q35" i="10" a="1"/>
  <c r="Q35" i="10" s="1"/>
  <c r="Q34" i="10" a="1"/>
  <c r="Q34" i="10" s="1"/>
  <c r="H75" i="10" s="1"/>
  <c r="Q33" i="10" a="1"/>
  <c r="Q33" i="10" s="1"/>
  <c r="I78" i="10" s="1"/>
  <c r="Q32" i="10" a="1"/>
  <c r="Q32" i="10" s="1"/>
  <c r="I77" i="10" s="1"/>
  <c r="Q31" i="10" a="1"/>
  <c r="Q31" i="10" s="1"/>
  <c r="I76" i="10" s="1"/>
  <c r="Q29" i="10" a="1"/>
  <c r="Q29" i="10" s="1"/>
  <c r="Q30" i="10" a="1"/>
  <c r="Q30" i="10" s="1"/>
  <c r="I75" i="10" s="1"/>
  <c r="P16" i="9" a="1"/>
  <c r="P16" i="9" s="1"/>
  <c r="P57" i="9" a="1"/>
  <c r="P57" i="9" s="1"/>
  <c r="P56" i="9" a="1"/>
  <c r="P56" i="9" s="1"/>
  <c r="P55" i="9" a="1"/>
  <c r="P55" i="9" s="1"/>
  <c r="P54" i="9" a="1"/>
  <c r="P54" i="9" s="1"/>
  <c r="P53" i="9" a="1"/>
  <c r="P53" i="9" s="1"/>
  <c r="P52" i="9" a="1"/>
  <c r="P52" i="9" s="1"/>
  <c r="H77" i="9" s="1"/>
  <c r="P51" i="9" a="1"/>
  <c r="P51" i="9" s="1"/>
  <c r="P50" i="9" a="1"/>
  <c r="P50" i="9" s="1"/>
  <c r="P49" i="9" a="1"/>
  <c r="P49" i="9" s="1"/>
  <c r="P48" i="9" a="1"/>
  <c r="P48" i="9" s="1"/>
  <c r="P47" i="9" a="1"/>
  <c r="P47" i="9" s="1"/>
  <c r="P46" i="9" a="1"/>
  <c r="P46" i="9" s="1"/>
  <c r="H76" i="9" s="1"/>
  <c r="P45" i="9" a="1"/>
  <c r="P45" i="9" s="1"/>
  <c r="P44" i="9" a="1"/>
  <c r="P44" i="9" s="1"/>
  <c r="P43" i="9" a="1"/>
  <c r="P43" i="9" s="1"/>
  <c r="P42" i="9" a="1"/>
  <c r="P42" i="9" s="1"/>
  <c r="P41" i="9" a="1"/>
  <c r="P41" i="9" s="1"/>
  <c r="P40" i="9" a="1"/>
  <c r="P40" i="9" s="1"/>
  <c r="H75" i="9" s="1"/>
  <c r="P39" i="9" a="1"/>
  <c r="P39" i="9" s="1"/>
  <c r="P38" i="9" a="1"/>
  <c r="P38" i="9" s="1"/>
  <c r="P37" i="9" a="1"/>
  <c r="P37" i="9" s="1"/>
  <c r="P36" i="9" a="1"/>
  <c r="P36" i="9" s="1"/>
  <c r="P35" i="9" a="1"/>
  <c r="P35" i="9" s="1"/>
  <c r="P34" i="9" a="1"/>
  <c r="P34" i="9" s="1"/>
  <c r="H74" i="9" s="1"/>
  <c r="P33" i="9" a="1"/>
  <c r="P33" i="9" s="1"/>
  <c r="P32" i="9" a="1"/>
  <c r="P32" i="9" s="1"/>
  <c r="P31" i="9" a="1"/>
  <c r="P31" i="9" s="1"/>
  <c r="P30" i="9" a="1"/>
  <c r="P30" i="9" s="1"/>
  <c r="P29" i="9" a="1"/>
  <c r="P29" i="9" s="1"/>
  <c r="P28" i="9" a="1"/>
  <c r="P28" i="9" s="1"/>
  <c r="H73" i="9" s="1"/>
  <c r="P27" i="9" a="1"/>
  <c r="P27" i="9" s="1"/>
  <c r="P26" i="9" a="1"/>
  <c r="P26" i="9" s="1"/>
  <c r="P25" i="9" a="1"/>
  <c r="P25" i="9" s="1"/>
  <c r="P24" i="9" a="1"/>
  <c r="P24" i="9" s="1"/>
  <c r="P23" i="9" a="1"/>
  <c r="P23" i="9" s="1"/>
  <c r="P22" i="9" a="1"/>
  <c r="P22" i="9" s="1"/>
  <c r="P21" i="9" a="1"/>
  <c r="P21" i="9" s="1"/>
  <c r="I77" i="9" s="1"/>
  <c r="P20" i="9" a="1"/>
  <c r="P20" i="9" s="1"/>
  <c r="I76" i="9" s="1"/>
  <c r="P19" i="9" a="1"/>
  <c r="P19" i="9" s="1"/>
  <c r="I75" i="9" s="1"/>
  <c r="P18" i="9" a="1"/>
  <c r="P18" i="9" s="1"/>
  <c r="I74" i="9" s="1"/>
  <c r="P17" i="9" a="1"/>
  <c r="P17" i="9" s="1"/>
  <c r="I73" i="9" s="1"/>
  <c r="J75" i="10" l="1"/>
  <c r="J76" i="10"/>
  <c r="J77" i="10"/>
  <c r="J78" i="10"/>
  <c r="H72" i="10"/>
  <c r="I73" i="10"/>
  <c r="H73" i="10"/>
  <c r="I72" i="10"/>
  <c r="J72" i="10" s="1"/>
  <c r="H74" i="10"/>
  <c r="J74" i="10" s="1"/>
  <c r="I71" i="9"/>
  <c r="H72" i="9"/>
  <c r="J73" i="9"/>
  <c r="J74" i="9"/>
  <c r="J75" i="9"/>
  <c r="J76" i="9"/>
  <c r="J77" i="9"/>
  <c r="I72" i="9"/>
  <c r="H71" i="9"/>
  <c r="J71" i="9" s="1"/>
  <c r="J73" i="10" l="1"/>
  <c r="K78" i="10"/>
  <c r="U9" i="5" s="1"/>
  <c r="K77" i="10"/>
  <c r="U8" i="5" s="1"/>
  <c r="K76" i="10"/>
  <c r="U7" i="5" s="1"/>
  <c r="K75" i="10"/>
  <c r="U6" i="5" s="1"/>
  <c r="J72" i="9"/>
  <c r="K73" i="10" l="1"/>
  <c r="U4" i="5" s="1"/>
  <c r="K74" i="10"/>
  <c r="U5" i="5" s="1"/>
  <c r="K72" i="10"/>
  <c r="U3" i="5" s="1"/>
  <c r="K72" i="9"/>
  <c r="P4" i="5" s="1"/>
  <c r="K71" i="9"/>
  <c r="P3" i="5" s="1"/>
  <c r="K77" i="9"/>
  <c r="P9" i="5" s="1"/>
  <c r="K76" i="9"/>
  <c r="P8" i="5" s="1"/>
  <c r="K75" i="9"/>
  <c r="P7" i="5" s="1"/>
  <c r="K74" i="9"/>
  <c r="P6" i="5" s="1"/>
  <c r="K73" i="9"/>
  <c r="P5" i="5" s="1"/>
  <c r="B3" i="5"/>
  <c r="C3" i="5"/>
  <c r="D3" i="5"/>
  <c r="E3" i="5"/>
  <c r="B9" i="5"/>
  <c r="B8" i="5"/>
  <c r="B7" i="5"/>
  <c r="B5" i="5"/>
  <c r="B4" i="5"/>
  <c r="B6" i="5"/>
  <c r="C4" i="5"/>
  <c r="C5" i="5"/>
  <c r="C6" i="5"/>
  <c r="C7" i="5"/>
  <c r="C8" i="5"/>
  <c r="C9" i="5"/>
  <c r="D9" i="5"/>
  <c r="D8" i="5"/>
  <c r="D7" i="5"/>
  <c r="D6" i="5"/>
  <c r="D5" i="5"/>
  <c r="D4" i="5"/>
  <c r="E4" i="5"/>
  <c r="E5" i="5"/>
  <c r="E6" i="5"/>
  <c r="E7" i="5"/>
  <c r="E8" i="5"/>
  <c r="E9" i="5"/>
  <c r="F12" i="4"/>
  <c r="D12" i="4"/>
  <c r="C12" i="4"/>
  <c r="E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<sst xmlns="http://schemas.openxmlformats.org/spreadsheetml/2006/main" count="996" uniqueCount="134">
  <si>
    <t>Εναλλακτικές / Χαρακτηριστικά</t>
  </si>
  <si>
    <t>Ενοίκιο (Κ)</t>
  </si>
  <si>
    <t>Εμβαδό (Ο)</t>
  </si>
  <si>
    <t>Δωμάτια (Ο)</t>
  </si>
  <si>
    <t>Πάρκινγκ (Ο)</t>
  </si>
  <si>
    <t>Θέρμανση (Ο)</t>
  </si>
  <si>
    <t>Απόστ. ΜΜΜ (Κ)</t>
  </si>
  <si>
    <t>Απόστ. Αγορά (Κ)</t>
  </si>
  <si>
    <t>Κατάσταση (Ο)</t>
  </si>
  <si>
    <t>Όροφος (Ο)</t>
  </si>
  <si>
    <t>Έτος (Ο)</t>
  </si>
  <si>
    <t>A</t>
  </si>
  <si>
    <t>B</t>
  </si>
  <si>
    <t>Γ</t>
  </si>
  <si>
    <t>Δ</t>
  </si>
  <si>
    <t>E</t>
  </si>
  <si>
    <t>Z</t>
  </si>
  <si>
    <t>H</t>
  </si>
  <si>
    <t>Εναλλακτικές / Μέθοδοι Βαρών</t>
  </si>
  <si>
    <t>Σταθμισμένο Άθροισμα (ROC)</t>
  </si>
  <si>
    <t>Σταθμισμένο Άθροισμα (Rank Sum)</t>
  </si>
  <si>
    <t>Σταθμισμένο Άθροισμα (Rank Reciprocal)</t>
  </si>
  <si>
    <t>Σταθμισμένο Άθροισμα (SMART)</t>
  </si>
  <si>
    <t>Εναλλακτικές</t>
  </si>
  <si>
    <t>Ci​ (ROC)</t>
  </si>
  <si>
    <t>Ci​ (RS)</t>
  </si>
  <si>
    <t>Ci​ (RR)</t>
  </si>
  <si>
    <t>Ci​ (SMART)</t>
  </si>
  <si>
    <t>Τελική Κατάταξη</t>
  </si>
  <si>
    <t>Κριτήριο</t>
  </si>
  <si>
    <t>Rank (ri​)</t>
  </si>
  <si>
    <t>Rank Sum (RS)</t>
  </si>
  <si>
    <t>Rank Reciprocal (RR)</t>
  </si>
  <si>
    <t>ROC</t>
  </si>
  <si>
    <t>SMART (Παράδειγμα)</t>
  </si>
  <si>
    <t>Ενοίκιο</t>
  </si>
  <si>
    <t>Εμβαδό</t>
  </si>
  <si>
    <t>Δωμάτια</t>
  </si>
  <si>
    <t>Πάρκινγκ</t>
  </si>
  <si>
    <t>Θέρμανση</t>
  </si>
  <si>
    <t>Απόστ. ΜΜΜ</t>
  </si>
  <si>
    <t>Απόστ. Αγορά</t>
  </si>
  <si>
    <t>Κατάσταση</t>
  </si>
  <si>
    <t>Όροφος</t>
  </si>
  <si>
    <t>Έτος</t>
  </si>
  <si>
    <t>ΣΥΝΟΛΟ</t>
  </si>
  <si>
    <t>PROMETHEE</t>
  </si>
  <si>
    <t>ELECTRE</t>
  </si>
  <si>
    <t>WS-ROC</t>
  </si>
  <si>
    <t>WS-RS</t>
  </si>
  <si>
    <t>WS-RR</t>
  </si>
  <si>
    <t>WS-SMART</t>
  </si>
  <si>
    <t>TOPSIS-ROC</t>
  </si>
  <si>
    <t>TOPSIS-RS</t>
  </si>
  <si>
    <t>TOPSIS-RR</t>
  </si>
  <si>
    <t>TOPSIS-SMART</t>
  </si>
  <si>
    <t>AHP</t>
  </si>
  <si>
    <t>AHP FULL</t>
  </si>
  <si>
    <t>RANK-ROC</t>
  </si>
  <si>
    <t>RANK-RS</t>
  </si>
  <si>
    <t>RANK-SMART</t>
  </si>
  <si>
    <t>RANK-RR</t>
  </si>
  <si>
    <t>RANK-AHP</t>
  </si>
  <si>
    <t>Πίνακας Κανονικοποίησης l^2</t>
  </si>
  <si>
    <t>Σταθμισμένος Πίνακας (Weighted Normalized Matrix) (ROC)</t>
  </si>
  <si>
    <t>Si+ (Απόσταση από το Ιδανικό)</t>
  </si>
  <si>
    <t>Si- (Απόσταση από το Αρνητικό Ιδανικό)</t>
  </si>
  <si>
    <t>Ci (Τελική Επίδοση)</t>
  </si>
  <si>
    <t>Ιδανική (Α+)</t>
  </si>
  <si>
    <t>Αρνητική Ιδανική (A-)</t>
  </si>
  <si>
    <t>Σταθμισμένος Πίνακας (Weighted Normalized Matrix) (RS)</t>
  </si>
  <si>
    <t>Σταθμισμένος Πίνακας (Weighted Normalized Matrix) (RR)</t>
  </si>
  <si>
    <t>Σταθμισμένος Πίνακας (Weighted Normalized Matrix) (SMART)</t>
  </si>
  <si>
    <t>ΜΜΜ</t>
  </si>
  <si>
    <t>Αγορά</t>
  </si>
  <si>
    <t>Αθροισμα</t>
  </si>
  <si>
    <t>Κανονικοποιημένος Πίνακα (Normalized Matrix)</t>
  </si>
  <si>
    <t>Μ.Ο.</t>
  </si>
  <si>
    <t>4.4.2</t>
  </si>
  <si>
    <t>Ενοίκιο (Κόστος)</t>
  </si>
  <si>
    <t>Α</t>
  </si>
  <si>
    <t>Β</t>
  </si>
  <si>
    <t>Ε</t>
  </si>
  <si>
    <t>Ζ</t>
  </si>
  <si>
    <t>Η</t>
  </si>
  <si>
    <t>Εμβαδό (Όφελος)</t>
  </si>
  <si>
    <t>Δωμάτια (Όφελος)</t>
  </si>
  <si>
    <t>Παρκινγκ (Όφελος)</t>
  </si>
  <si>
    <t>Θέρμανση (Όφελος)</t>
  </si>
  <si>
    <t>Απόστ. ΜΜΜ (Κόστος)</t>
  </si>
  <si>
    <t>Απόστ. Αγορά (Κόστος)</t>
  </si>
  <si>
    <t>Κατάσταση (Όφελος)</t>
  </si>
  <si>
    <t>Όροφος (Όφελος)</t>
  </si>
  <si>
    <t>Έτος (Όφελος)</t>
  </si>
  <si>
    <t>©</t>
  </si>
  <si>
    <t>Χαρακτηριστικό</t>
  </si>
  <si>
    <t>Τύπος</t>
  </si>
  <si>
    <t>q</t>
  </si>
  <si>
    <t>p</t>
  </si>
  <si>
    <t>-</t>
  </si>
  <si>
    <t>Απόστ.ΜΜΜ</t>
  </si>
  <si>
    <t>Απόστ.Αγορά</t>
  </si>
  <si>
    <t>Εναλλακτική 1</t>
  </si>
  <si>
    <t>Εναλλακτική 2</t>
  </si>
  <si>
    <t>π(a,b) - ROC</t>
  </si>
  <si>
    <t>π(a,b) - RS</t>
  </si>
  <si>
    <t>π(a,b) - SMART</t>
  </si>
  <si>
    <t>π(a,b) - AHP</t>
  </si>
  <si>
    <t>π(a,b) - RR</t>
  </si>
  <si>
    <t>PROMETHEE II - ROC</t>
  </si>
  <si>
    <t>PROMETHEE II - SMART</t>
  </si>
  <si>
    <t>W (Φ+)</t>
  </si>
  <si>
    <t>X (Φ-)</t>
  </si>
  <si>
    <t>Y (Καθαρή Ροή Φ)</t>
  </si>
  <si>
    <t>Z (Rank)</t>
  </si>
  <si>
    <t>PROMETHEE II - RS</t>
  </si>
  <si>
    <t>PROMETHEE II - AHP</t>
  </si>
  <si>
    <t>PROMETHEE II - RR</t>
  </si>
  <si>
    <t>v</t>
  </si>
  <si>
    <t>C(a,b) - ROC</t>
  </si>
  <si>
    <t>C(a,b) - RS</t>
  </si>
  <si>
    <t>C(a,b) - RR</t>
  </si>
  <si>
    <t>C(a,b) - SMART</t>
  </si>
  <si>
    <t>C(a,b) - AHP</t>
  </si>
  <si>
    <t>ELECTRE - ROC</t>
  </si>
  <si>
    <t>ELECTRE - SMART</t>
  </si>
  <si>
    <t>Εναλλακτική</t>
  </si>
  <si>
    <t>Wins</t>
  </si>
  <si>
    <t>Losses</t>
  </si>
  <si>
    <t>Net</t>
  </si>
  <si>
    <t>Rank</t>
  </si>
  <si>
    <t>ELECTRE - RS</t>
  </si>
  <si>
    <t>ELECTRE - AHP</t>
  </si>
  <si>
    <t>ELECTRE - 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</si>
</sst>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0"/>
      <name val="Calibri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  <font>
      <b/>
      <sz val="12"/>
      <color theme="0"/>
      <name val="Calibri"/>
      <scheme val="minor"/>
    </font>
    <font>
      <b/>
      <sz val="11"/>
      <color theme="0"/>
      <name val="Calibri"/>
      <charset val="1"/>
    </font>
    <font>
      <sz val="12"/>
      <color theme="0"/>
      <name val="Calibri"/>
      <scheme val="minor"/>
    </font>
    <font>
      <b/>
      <sz val="11"/>
      <color theme="0"/>
      <name val="Google Sans Tex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2" fillId="0" borderId="2" xfId="0" applyFont="1" applyBorder="1" applyAlignment="1">
      <alignment readingOrder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2" fontId="7" fillId="0" borderId="0" xfId="0" applyNumberFormat="1" applyFont="1"/>
    <xf numFmtId="0" fontId="6" fillId="0" borderId="2" xfId="0" applyFont="1" applyBorder="1"/>
    <xf numFmtId="12" fontId="3" fillId="0" borderId="1" xfId="0" applyNumberFormat="1" applyFont="1" applyBorder="1" applyAlignment="1">
      <alignment readingOrder="1"/>
    </xf>
    <xf numFmtId="12" fontId="7" fillId="0" borderId="2" xfId="0" applyNumberFormat="1" applyFont="1" applyBorder="1"/>
    <xf numFmtId="12" fontId="3" fillId="0" borderId="3" xfId="0" applyNumberFormat="1" applyFont="1" applyBorder="1" applyAlignment="1">
      <alignment readingOrder="1"/>
    </xf>
    <xf numFmtId="0" fontId="3" fillId="0" borderId="3" xfId="0" applyFont="1" applyBorder="1" applyAlignment="1">
      <alignment readingOrder="1"/>
    </xf>
    <xf numFmtId="12" fontId="6" fillId="0" borderId="2" xfId="0" applyNumberFormat="1" applyFont="1" applyBorder="1"/>
    <xf numFmtId="12" fontId="3" fillId="0" borderId="6" xfId="0" applyNumberFormat="1" applyFont="1" applyBorder="1" applyAlignment="1">
      <alignment readingOrder="1"/>
    </xf>
    <xf numFmtId="12" fontId="7" fillId="0" borderId="4" xfId="0" applyNumberFormat="1" applyFont="1" applyBorder="1"/>
    <xf numFmtId="0" fontId="3" fillId="0" borderId="6" xfId="0" applyFont="1" applyBorder="1" applyAlignment="1">
      <alignment readingOrder="1"/>
    </xf>
    <xf numFmtId="0" fontId="7" fillId="0" borderId="2" xfId="0" applyFont="1" applyBorder="1"/>
    <xf numFmtId="0" fontId="4" fillId="0" borderId="0" xfId="0" applyFont="1"/>
    <xf numFmtId="0" fontId="0" fillId="0" borderId="2" xfId="0" applyBorder="1"/>
    <xf numFmtId="0" fontId="2" fillId="0" borderId="4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/>
    <xf numFmtId="0" fontId="8" fillId="0" borderId="2" xfId="0" applyFont="1" applyBorder="1"/>
    <xf numFmtId="0" fontId="8" fillId="0" borderId="2" xfId="0" quotePrefix="1" applyFont="1" applyBorder="1"/>
    <xf numFmtId="0" fontId="11" fillId="0" borderId="1" xfId="0" applyFont="1" applyBorder="1" applyAlignment="1">
      <alignment readingOrder="1"/>
    </xf>
    <xf numFmtId="164" fontId="0" fillId="0" borderId="2" xfId="0" applyNumberFormat="1" applyBorder="1"/>
    <xf numFmtId="164" fontId="0" fillId="0" borderId="4" xfId="0" applyNumberFormat="1" applyBorder="1"/>
    <xf numFmtId="0" fontId="12" fillId="0" borderId="1" xfId="0" quotePrefix="1" applyFont="1" applyBorder="1" applyAlignment="1">
      <alignment readingOrder="1"/>
    </xf>
    <xf numFmtId="0" fontId="11" fillId="0" borderId="0" xfId="0" applyFont="1" applyAlignment="1">
      <alignment readingOrder="1"/>
    </xf>
    <xf numFmtId="0" fontId="10" fillId="0" borderId="0" xfId="0" applyFont="1" applyAlignment="1">
      <alignment readingOrder="1"/>
    </xf>
    <xf numFmtId="0" fontId="12" fillId="0" borderId="0" xfId="0" quotePrefix="1" applyFont="1" applyAlignment="1">
      <alignment readingOrder="1"/>
    </xf>
    <xf numFmtId="0" fontId="0" fillId="0" borderId="4" xfId="0" applyBorder="1"/>
    <xf numFmtId="0" fontId="11" fillId="0" borderId="0" xfId="0" quotePrefix="1" applyFont="1" applyAlignment="1">
      <alignment readingOrder="1"/>
    </xf>
    <xf numFmtId="0" fontId="0" fillId="0" borderId="9" xfId="0" applyBorder="1"/>
    <xf numFmtId="0" fontId="2" fillId="0" borderId="0" xfId="0" applyFont="1" applyAlignment="1">
      <alignment horizontal="center" vertical="center" readingOrder="1"/>
    </xf>
    <xf numFmtId="0" fontId="10" fillId="0" borderId="0" xfId="0" quotePrefix="1" applyFont="1" applyAlignment="1">
      <alignment readingOrder="1"/>
    </xf>
    <xf numFmtId="0" fontId="9" fillId="2" borderId="1" xfId="0" applyFont="1" applyFill="1" applyBorder="1" applyAlignment="1">
      <alignment horizontal="center" vertical="center" readingOrder="1"/>
    </xf>
    <xf numFmtId="0" fontId="9" fillId="3" borderId="1" xfId="0" applyFont="1" applyFill="1" applyBorder="1" applyAlignment="1">
      <alignment horizontal="center" vertical="center" readingOrder="1"/>
    </xf>
    <xf numFmtId="0" fontId="9" fillId="3" borderId="2" xfId="0" applyFont="1" applyFill="1" applyBorder="1" applyAlignment="1">
      <alignment horizontal="center" vertical="center" readingOrder="1"/>
    </xf>
    <xf numFmtId="0" fontId="9" fillId="3" borderId="1" xfId="0" applyFont="1" applyFill="1" applyBorder="1" applyAlignment="1">
      <alignment readingOrder="1"/>
    </xf>
    <xf numFmtId="0" fontId="9" fillId="3" borderId="7" xfId="0" applyFont="1" applyFill="1" applyBorder="1" applyAlignment="1">
      <alignment horizontal="center" vertical="center" readingOrder="1"/>
    </xf>
    <xf numFmtId="0" fontId="9" fillId="3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readingOrder="1"/>
    </xf>
    <xf numFmtId="0" fontId="9" fillId="2" borderId="17" xfId="0" applyFont="1" applyFill="1" applyBorder="1" applyAlignment="1">
      <alignment horizontal="center" vertical="center" readingOrder="1"/>
    </xf>
    <xf numFmtId="0" fontId="9" fillId="3" borderId="3" xfId="0" applyFont="1" applyFill="1" applyBorder="1" applyAlignment="1">
      <alignment readingOrder="1"/>
    </xf>
    <xf numFmtId="0" fontId="9" fillId="3" borderId="2" xfId="0" applyFont="1" applyFill="1" applyBorder="1"/>
    <xf numFmtId="0" fontId="13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readingOrder="1"/>
    </xf>
    <xf numFmtId="0" fontId="14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readingOrder="1"/>
    </xf>
    <xf numFmtId="0" fontId="9" fillId="2" borderId="1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vertical="center" readingOrder="1"/>
    </xf>
    <xf numFmtId="0" fontId="14" fillId="2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readingOrder="1"/>
    </xf>
    <xf numFmtId="0" fontId="9" fillId="2" borderId="3" xfId="0" applyFont="1" applyFill="1" applyBorder="1" applyAlignment="1">
      <alignment horizontal="center" vertical="center" readingOrder="1"/>
    </xf>
    <xf numFmtId="0" fontId="9" fillId="3" borderId="18" xfId="0" applyFont="1" applyFill="1" applyBorder="1" applyAlignment="1">
      <alignment readingOrder="1"/>
    </xf>
    <xf numFmtId="0" fontId="9" fillId="2" borderId="2" xfId="0" applyFont="1" applyFill="1" applyBorder="1" applyAlignment="1">
      <alignment horizontal="center" readingOrder="1"/>
    </xf>
    <xf numFmtId="0" fontId="9" fillId="2" borderId="6" xfId="0" applyFont="1" applyFill="1" applyBorder="1" applyAlignment="1">
      <alignment horizontal="center" vertical="center" readingOrder="1"/>
    </xf>
    <xf numFmtId="0" fontId="9" fillId="2" borderId="16" xfId="0" applyFont="1" applyFill="1" applyBorder="1" applyAlignment="1">
      <alignment horizontal="center" vertical="center" readingOrder="1"/>
    </xf>
    <xf numFmtId="0" fontId="9" fillId="2" borderId="17" xfId="0" applyFont="1" applyFill="1" applyBorder="1" applyAlignment="1">
      <alignment horizontal="center" vertical="center" readingOrder="1"/>
    </xf>
    <xf numFmtId="0" fontId="13" fillId="2" borderId="4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readingOrder="1"/>
    </xf>
    <xf numFmtId="0" fontId="9" fillId="2" borderId="8" xfId="0" applyFont="1" applyFill="1" applyBorder="1" applyAlignment="1">
      <alignment horizontal="center" readingOrder="1"/>
    </xf>
    <xf numFmtId="0" fontId="9" fillId="2" borderId="9" xfId="0" applyFont="1" applyFill="1" applyBorder="1" applyAlignment="1">
      <alignment horizontal="center" readingOrder="1"/>
    </xf>
    <xf numFmtId="0" fontId="9" fillId="2" borderId="11" xfId="0" applyFont="1" applyFill="1" applyBorder="1" applyAlignment="1">
      <alignment horizontal="center" readingOrder="1"/>
    </xf>
    <xf numFmtId="0" fontId="9" fillId="2" borderId="12" xfId="0" applyFont="1" applyFill="1" applyBorder="1" applyAlignment="1">
      <alignment horizontal="center" readingOrder="1"/>
    </xf>
    <xf numFmtId="0" fontId="1" fillId="0" borderId="2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Ανάλυση Ευαισθησίας: Επίδραση των Μεθόδων </a:t>
            </a:r>
            <a:r>
              <a:rPr lang="en-US"/>
              <a:t>ROC, RS, RR &amp; SMART </a:t>
            </a:r>
            <a:r>
              <a:rPr lang="el-GR"/>
              <a:t>στην Κατάταξη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'Σύγκριση &amp; Αποτελέσματα'!$B$1</c:f>
              <c:strCache>
                <c:ptCount val="1"/>
                <c:pt idx="0">
                  <c:v>Ci​ (ROC)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'Σύγκριση &amp; Αποτελέσματα'!$A$2:$A$8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Γ</c:v>
                </c:pt>
                <c:pt idx="3">
                  <c:v>Δ</c:v>
                </c:pt>
                <c:pt idx="4">
                  <c:v>E</c:v>
                </c:pt>
                <c:pt idx="5">
                  <c:v>Z</c:v>
                </c:pt>
                <c:pt idx="6">
                  <c:v>H</c:v>
                </c:pt>
              </c:strCache>
            </c:strRef>
          </c:cat>
          <c:val>
            <c:numRef>
              <c:f>'Σύγκριση &amp; Αποτελέσματα'!$B$2:$B$8</c:f>
              <c:numCache>
                <c:formatCode>General</c:formatCode>
                <c:ptCount val="7"/>
                <c:pt idx="0">
                  <c:v>0.57989445246976068</c:v>
                </c:pt>
                <c:pt idx="1">
                  <c:v>0.48180175193253943</c:v>
                </c:pt>
                <c:pt idx="2">
                  <c:v>0.64121118931932886</c:v>
                </c:pt>
                <c:pt idx="3">
                  <c:v>0.4731575665921145</c:v>
                </c:pt>
                <c:pt idx="4">
                  <c:v>0.5343006801900213</c:v>
                </c:pt>
                <c:pt idx="5">
                  <c:v>0.46101088854267458</c:v>
                </c:pt>
                <c:pt idx="6">
                  <c:v>0.57226495245579712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4-492D-A401-51534AC028EA}"/>
            </c:ext>
          </c:extLst>
        </c:ser>
        <c:ser>
          <c:idx val="1"/>
          <c:order val="1"/>
          <c:tx>
            <c:strRef>
              <c:f>'Σύγκριση &amp; Αποτελέσματα'!$C$1</c:f>
              <c:strCache>
                <c:ptCount val="1"/>
                <c:pt idx="0">
                  <c:v>Ci​ (RS)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'Σύγκριση &amp; Αποτελέσματα'!$A$2:$A$8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Γ</c:v>
                </c:pt>
                <c:pt idx="3">
                  <c:v>Δ</c:v>
                </c:pt>
                <c:pt idx="4">
                  <c:v>E</c:v>
                </c:pt>
                <c:pt idx="5">
                  <c:v>Z</c:v>
                </c:pt>
                <c:pt idx="6">
                  <c:v>H</c:v>
                </c:pt>
              </c:strCache>
            </c:strRef>
          </c:cat>
          <c:val>
            <c:numRef>
              <c:f>'Σύγκριση &amp; Αποτελέσματα'!$C$2:$C$8</c:f>
              <c:numCache>
                <c:formatCode>General</c:formatCode>
                <c:ptCount val="7"/>
                <c:pt idx="0">
                  <c:v>0.59484370405205267</c:v>
                </c:pt>
                <c:pt idx="1">
                  <c:v>0.46377531179839482</c:v>
                </c:pt>
                <c:pt idx="2">
                  <c:v>0.61537352316337224</c:v>
                </c:pt>
                <c:pt idx="3">
                  <c:v>0.5278291130104974</c:v>
                </c:pt>
                <c:pt idx="4">
                  <c:v>0.48839442442223474</c:v>
                </c:pt>
                <c:pt idx="5">
                  <c:v>0.4866550235192188</c:v>
                </c:pt>
                <c:pt idx="6">
                  <c:v>0.52906326233987999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4-492D-A401-51534AC028EA}"/>
            </c:ext>
          </c:extLst>
        </c:ser>
        <c:ser>
          <c:idx val="2"/>
          <c:order val="2"/>
          <c:tx>
            <c:strRef>
              <c:f>'Σύγκριση &amp; Αποτελέσματα'!$D$1</c:f>
              <c:strCache>
                <c:ptCount val="1"/>
                <c:pt idx="0">
                  <c:v>Ci​ (RR)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'Σύγκριση &amp; Αποτελέσματα'!$A$2:$A$8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Γ</c:v>
                </c:pt>
                <c:pt idx="3">
                  <c:v>Δ</c:v>
                </c:pt>
                <c:pt idx="4">
                  <c:v>E</c:v>
                </c:pt>
                <c:pt idx="5">
                  <c:v>Z</c:v>
                </c:pt>
                <c:pt idx="6">
                  <c:v>H</c:v>
                </c:pt>
              </c:strCache>
            </c:strRef>
          </c:cat>
          <c:val>
            <c:numRef>
              <c:f>'Σύγκριση &amp; Αποτελέσματα'!$D$2:$D$8</c:f>
              <c:numCache>
                <c:formatCode>General</c:formatCode>
                <c:ptCount val="7"/>
                <c:pt idx="0">
                  <c:v>0.5504223570737512</c:v>
                </c:pt>
                <c:pt idx="1">
                  <c:v>0.52641899073047682</c:v>
                </c:pt>
                <c:pt idx="2">
                  <c:v>0.65259229834651944</c:v>
                </c:pt>
                <c:pt idx="3">
                  <c:v>0.43101673950350716</c:v>
                </c:pt>
                <c:pt idx="4">
                  <c:v>0.57509938248064862</c:v>
                </c:pt>
                <c:pt idx="5">
                  <c:v>0.4274485630046248</c:v>
                </c:pt>
                <c:pt idx="6">
                  <c:v>0.60268934558748388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4-492D-A401-51534AC028EA}"/>
            </c:ext>
          </c:extLst>
        </c:ser>
        <c:ser>
          <c:idx val="3"/>
          <c:order val="3"/>
          <c:tx>
            <c:strRef>
              <c:f>'Σύγκριση &amp; Αποτελέσματα'!$E$1</c:f>
              <c:strCache>
                <c:ptCount val="1"/>
                <c:pt idx="0">
                  <c:v>Ci​ (SMART)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'Σύγκριση &amp; Αποτελέσματα'!$A$2:$A$8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Γ</c:v>
                </c:pt>
                <c:pt idx="3">
                  <c:v>Δ</c:v>
                </c:pt>
                <c:pt idx="4">
                  <c:v>E</c:v>
                </c:pt>
                <c:pt idx="5">
                  <c:v>Z</c:v>
                </c:pt>
                <c:pt idx="6">
                  <c:v>H</c:v>
                </c:pt>
              </c:strCache>
            </c:strRef>
          </c:cat>
          <c:val>
            <c:numRef>
              <c:f>'Σύγκριση &amp; Αποτελέσματα'!$E$2:$E$8</c:f>
              <c:numCache>
                <c:formatCode>General</c:formatCode>
                <c:ptCount val="7"/>
                <c:pt idx="0">
                  <c:v>0.55636756798004416</c:v>
                </c:pt>
                <c:pt idx="1">
                  <c:v>0.45365010918253362</c:v>
                </c:pt>
                <c:pt idx="2">
                  <c:v>0.56834860106174712</c:v>
                </c:pt>
                <c:pt idx="3">
                  <c:v>0.58990113130402166</c:v>
                </c:pt>
                <c:pt idx="4">
                  <c:v>0.45054699600427378</c:v>
                </c:pt>
                <c:pt idx="5">
                  <c:v>0.56319271140410754</c:v>
                </c:pt>
                <c:pt idx="6">
                  <c:v>0.467316496900467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54-492D-A401-51534AC02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847175"/>
        <c:axId val="1805528071"/>
      </c:barChart>
      <c:catAx>
        <c:axId val="1571847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28071"/>
        <c:crosses val="autoZero"/>
        <c:auto val="1"/>
        <c:lblAlgn val="ctr"/>
        <c:lblOffset val="100"/>
        <c:noMultiLvlLbl val="0"/>
      </c:catAx>
      <c:valAx>
        <c:axId val="1805528071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4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161925</xdr:rowOff>
    </xdr:from>
    <xdr:to>
      <xdr:col>4</xdr:col>
      <xdr:colOff>561975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84DBA-705C-15E2-840F-F60A069AD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B19" sqref="B19"/>
    </sheetView>
  </sheetViews>
  <sheetFormatPr defaultRowHeight="15"/>
  <cols>
    <col min="1" max="1" width="30.28515625" bestFit="1" customWidth="1"/>
    <col min="2" max="2" width="10.85546875" customWidth="1"/>
    <col min="3" max="3" width="11.140625" customWidth="1"/>
    <col min="4" max="4" width="11.85546875" customWidth="1"/>
    <col min="5" max="5" width="12.42578125" customWidth="1"/>
    <col min="6" max="6" width="14.140625" customWidth="1"/>
    <col min="7" max="7" width="16.7109375" bestFit="1" customWidth="1"/>
    <col min="8" max="8" width="16.140625" customWidth="1"/>
    <col min="9" max="9" width="14.42578125" customWidth="1"/>
    <col min="10" max="10" width="12.85546875" customWidth="1"/>
  </cols>
  <sheetData>
    <row r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spans="1:11">
      <c r="A2" s="47" t="s">
        <v>11</v>
      </c>
      <c r="B2" s="3">
        <v>500</v>
      </c>
      <c r="C2" s="3">
        <v>90</v>
      </c>
      <c r="D2" s="3">
        <v>3</v>
      </c>
      <c r="E2" s="3">
        <v>2</v>
      </c>
      <c r="F2" s="3">
        <v>0</v>
      </c>
      <c r="G2" s="3">
        <v>500</v>
      </c>
      <c r="H2" s="3">
        <v>500</v>
      </c>
      <c r="I2" s="3">
        <v>2</v>
      </c>
      <c r="J2" s="3">
        <v>4</v>
      </c>
      <c r="K2" s="3">
        <v>1995</v>
      </c>
    </row>
    <row r="3" spans="1:11">
      <c r="A3" s="47" t="s">
        <v>12</v>
      </c>
      <c r="B3" s="3">
        <v>400</v>
      </c>
      <c r="C3" s="3">
        <v>55</v>
      </c>
      <c r="D3" s="3">
        <v>2</v>
      </c>
      <c r="E3" s="3">
        <v>1</v>
      </c>
      <c r="F3" s="3">
        <v>0</v>
      </c>
      <c r="G3" s="3">
        <v>2000</v>
      </c>
      <c r="H3" s="3">
        <v>0</v>
      </c>
      <c r="I3" s="3">
        <v>2</v>
      </c>
      <c r="J3" s="3">
        <v>3</v>
      </c>
      <c r="K3" s="3">
        <v>2015</v>
      </c>
    </row>
    <row r="4" spans="1:11">
      <c r="A4" s="47" t="s">
        <v>13</v>
      </c>
      <c r="B4" s="3">
        <v>350</v>
      </c>
      <c r="C4" s="3">
        <v>70</v>
      </c>
      <c r="D4" s="3">
        <v>3</v>
      </c>
      <c r="E4" s="3">
        <v>0</v>
      </c>
      <c r="F4" s="3">
        <v>1</v>
      </c>
      <c r="G4" s="3">
        <v>200</v>
      </c>
      <c r="H4" s="3">
        <v>200</v>
      </c>
      <c r="I4" s="3">
        <v>1</v>
      </c>
      <c r="J4" s="3">
        <v>2</v>
      </c>
      <c r="K4" s="3">
        <v>2005</v>
      </c>
    </row>
    <row r="5" spans="1:11">
      <c r="A5" s="47" t="s">
        <v>14</v>
      </c>
      <c r="B5" s="3">
        <v>700</v>
      </c>
      <c r="C5" s="3">
        <v>120</v>
      </c>
      <c r="D5" s="3">
        <v>4</v>
      </c>
      <c r="E5" s="3">
        <v>3</v>
      </c>
      <c r="F5" s="3">
        <v>1</v>
      </c>
      <c r="G5" s="3">
        <v>4000</v>
      </c>
      <c r="H5" s="3">
        <v>300</v>
      </c>
      <c r="I5" s="3">
        <v>4</v>
      </c>
      <c r="J5" s="3">
        <v>1</v>
      </c>
      <c r="K5" s="3">
        <v>2025</v>
      </c>
    </row>
    <row r="6" spans="1:11">
      <c r="A6" s="47" t="s">
        <v>15</v>
      </c>
      <c r="B6" s="3">
        <v>250</v>
      </c>
      <c r="C6" s="3">
        <v>35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1985</v>
      </c>
    </row>
    <row r="7" spans="1:11">
      <c r="A7" s="47" t="s">
        <v>16</v>
      </c>
      <c r="B7" s="3">
        <v>600</v>
      </c>
      <c r="C7" s="3">
        <v>100</v>
      </c>
      <c r="D7" s="3">
        <v>3</v>
      </c>
      <c r="E7" s="3">
        <v>3</v>
      </c>
      <c r="F7" s="3">
        <v>1</v>
      </c>
      <c r="G7" s="3">
        <v>2000</v>
      </c>
      <c r="H7" s="3">
        <v>1000</v>
      </c>
      <c r="I7" s="3">
        <v>3</v>
      </c>
      <c r="J7" s="3">
        <v>3</v>
      </c>
      <c r="K7" s="3">
        <v>2000</v>
      </c>
    </row>
    <row r="8" spans="1:11">
      <c r="A8" s="47" t="s">
        <v>17</v>
      </c>
      <c r="B8" s="3">
        <v>300</v>
      </c>
      <c r="C8" s="3">
        <v>50</v>
      </c>
      <c r="D8" s="3">
        <v>2</v>
      </c>
      <c r="E8" s="3">
        <v>0</v>
      </c>
      <c r="F8" s="3">
        <v>0</v>
      </c>
      <c r="G8" s="3">
        <v>100</v>
      </c>
      <c r="H8" s="3">
        <v>100</v>
      </c>
      <c r="I8" s="3">
        <v>1</v>
      </c>
      <c r="J8" s="3">
        <v>1</v>
      </c>
      <c r="K8" s="3">
        <v>1970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01F1-9C52-45DA-8BE5-35BEB983F38D}">
  <dimension ref="A1:K8"/>
  <sheetViews>
    <sheetView workbookViewId="0">
      <selection activeCell="A6" sqref="A6"/>
    </sheetView>
  </sheetViews>
  <sheetFormatPr defaultRowHeight="15"/>
  <cols>
    <col min="1" max="1" width="30.28515625" bestFit="1" customWidth="1"/>
    <col min="2" max="2" width="10.85546875" customWidth="1"/>
    <col min="3" max="3" width="11.140625" customWidth="1"/>
    <col min="4" max="4" width="11.85546875" customWidth="1"/>
    <col min="5" max="5" width="12.42578125" customWidth="1"/>
    <col min="6" max="6" width="14.140625" customWidth="1"/>
    <col min="7" max="7" width="16.7109375" bestFit="1" customWidth="1"/>
    <col min="8" max="8" width="16.140625" customWidth="1"/>
    <col min="9" max="9" width="14.42578125" customWidth="1"/>
    <col min="10" max="10" width="12.85546875" customWidth="1"/>
  </cols>
  <sheetData>
    <row r="1" spans="1:1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spans="1:11">
      <c r="A2" s="47" t="s">
        <v>11</v>
      </c>
      <c r="B2" s="3">
        <f>IF(Δεδομένα!B2&lt;=400, 1 - (Δεδομένα!B2-250)/(400-250)*(1-0.7), 0.7 - (Δεδομένα!B2-400)/(700-400)*0.7)</f>
        <v>0.46666666666666667</v>
      </c>
      <c r="C2" s="3">
        <f>(Δεδομένα!C2 - MIN(Δεδομένα!C$2:C$8)) / (MAX(Δεδομένα!C$2:C$8) - MIN(Δεδομένα!C$2:C$8))</f>
        <v>0.6470588235294118</v>
      </c>
      <c r="D2" s="3">
        <f>(Δεδομένα!D2 - MIN(Δεδομένα!D$2:D$8)) / (MAX(Δεδομένα!D$2:D$8) - MIN(Δεδομένα!D$2:D$8))</f>
        <v>0.66666666666666663</v>
      </c>
      <c r="E2" s="3">
        <f>(Δεδομένα!E2 - MIN(Δεδομένα!E$2:E$8)) / (MAX(Δεδομένα!E$2:E$8) - MIN(Δεδομένα!E$2:E$8))</f>
        <v>0.66666666666666663</v>
      </c>
      <c r="F2" s="3">
        <f>(Δεδομένα!F2 - MIN(Δεδομένα!F$2:F$8)) / (MAX(Δεδομένα!F$2:F$8) - MIN(Δεδομένα!F$2:F$8))</f>
        <v>0</v>
      </c>
      <c r="G2" s="3">
        <f>(MAX(Δεδομένα!G$2:G$8) - Δεδομένα!G2) / (MAX(Δεδομένα!G$2:G$8) - MIN(Δεδομένα!G$2:G$8))</f>
        <v>0.875</v>
      </c>
      <c r="H2" s="3">
        <f>(MAX(Δεδομένα!H$2:H$8) - Δεδομένα!H2) / (MAX(Δεδομένα!H$2:H$8) - MIN(Δεδομένα!H$2:H$8))</f>
        <v>0.5</v>
      </c>
      <c r="I2" s="3">
        <f>(Δεδομένα!I2 - MIN(Δεδομένα!I$2:I$8)) / (MAX(Δεδομένα!I$2:I$8) - MIN(Δεδομένα!I$2:I$8))</f>
        <v>0.5</v>
      </c>
      <c r="J2" s="3">
        <f>(Δεδομένα!J2 - MIN(Δεδομένα!J$2:J$8)) / (MAX(Δεδομένα!J$2:J$8) - MIN(Δεδομένα!J$2:J$8))</f>
        <v>1</v>
      </c>
      <c r="K2" s="3">
        <f>(Δεδομένα!K2 - MIN(Δεδομένα!K$2:K$8)) / (MAX(Δεδομένα!K$2:K$8) - MIN(Δεδομένα!K$2:K$8))</f>
        <v>0.45454545454545453</v>
      </c>
    </row>
    <row r="3" spans="1:11">
      <c r="A3" s="47" t="s">
        <v>12</v>
      </c>
      <c r="B3" s="3">
        <f>IF(Δεδομένα!B3&lt;=400, 1 - (Δεδομένα!B3-250)/(400-250)*(1-0.7), 0.7 - (Δεδομένα!B3-400)/(700-400)*0.7)</f>
        <v>0.7</v>
      </c>
      <c r="C3" s="3">
        <f>(Δεδομένα!C3 - MIN(Δεδομένα!C$2:C$8)) / (MAX(Δεδομένα!C$2:C$8) - MIN(Δεδομένα!C$2:C$8))</f>
        <v>0.23529411764705882</v>
      </c>
      <c r="D3" s="3">
        <f>(Δεδομένα!D3 - MIN(Δεδομένα!D$2:D$8)) / (MAX(Δεδομένα!D$2:D$8) - MIN(Δεδομένα!D$2:D$8))</f>
        <v>0.33333333333333331</v>
      </c>
      <c r="E3" s="3">
        <f>(Δεδομένα!E3 - MIN(Δεδομένα!E$2:E$8)) / (MAX(Δεδομένα!E$2:E$8) - MIN(Δεδομένα!E$2:E$8))</f>
        <v>0.33333333333333331</v>
      </c>
      <c r="F3" s="3">
        <f>(Δεδομένα!F3 - MIN(Δεδομένα!F$2:F$8)) / (MAX(Δεδομένα!F$2:F$8) - MIN(Δεδομένα!F$2:F$8))</f>
        <v>0</v>
      </c>
      <c r="G3" s="3">
        <f>(MAX(Δεδομένα!G$2:G$8) - Δεδομένα!G3) / (MAX(Δεδομένα!G$2:G$8) - MIN(Δεδομένα!G$2:G$8))</f>
        <v>0.5</v>
      </c>
      <c r="H3" s="3">
        <f>(MAX(Δεδομένα!H$2:H$8) - Δεδομένα!H3) / (MAX(Δεδομένα!H$2:H$8) - MIN(Δεδομένα!H$2:H$8))</f>
        <v>1</v>
      </c>
      <c r="I3" s="3">
        <f>(Δεδομένα!I3 - MIN(Δεδομένα!I$2:I$8)) / (MAX(Δεδομένα!I$2:I$8) - MIN(Δεδομένα!I$2:I$8))</f>
        <v>0.5</v>
      </c>
      <c r="J3" s="3">
        <f>(Δεδομένα!J3 - MIN(Δεδομένα!J$2:J$8)) / (MAX(Δεδομένα!J$2:J$8) - MIN(Δεδομένα!J$2:J$8))</f>
        <v>0.75</v>
      </c>
      <c r="K3" s="3">
        <f>(Δεδομένα!K3 - MIN(Δεδομένα!K$2:K$8)) / (MAX(Δεδομένα!K$2:K$8) - MIN(Δεδομένα!K$2:K$8))</f>
        <v>0.81818181818181823</v>
      </c>
    </row>
    <row r="4" spans="1:11">
      <c r="A4" s="47" t="s">
        <v>13</v>
      </c>
      <c r="B4" s="3">
        <f>IF(Δεδομένα!B4&lt;=400, 1 - (Δεδομένα!B4-250)/(400-250)*(1-0.7), 0.7 - (Δεδομένα!B4-400)/(700-400)*0.7)</f>
        <v>0.8</v>
      </c>
      <c r="C4" s="3">
        <f>(Δεδομένα!C4 - MIN(Δεδομένα!C$2:C$8)) / (MAX(Δεδομένα!C$2:C$8) - MIN(Δεδομένα!C$2:C$8))</f>
        <v>0.41176470588235292</v>
      </c>
      <c r="D4" s="3">
        <f>(Δεδομένα!D4 - MIN(Δεδομένα!D$2:D$8)) / (MAX(Δεδομένα!D$2:D$8) - MIN(Δεδομένα!D$2:D$8))</f>
        <v>0.66666666666666663</v>
      </c>
      <c r="E4" s="3">
        <f>(Δεδομένα!E4 - MIN(Δεδομένα!E$2:E$8)) / (MAX(Δεδομένα!E$2:E$8) - MIN(Δεδομένα!E$2:E$8))</f>
        <v>0</v>
      </c>
      <c r="F4" s="3">
        <f>(Δεδομένα!F4 - MIN(Δεδομένα!F$2:F$8)) / (MAX(Δεδομένα!F$2:F$8) - MIN(Δεδομένα!F$2:F$8))</f>
        <v>1</v>
      </c>
      <c r="G4" s="3">
        <f>(MAX(Δεδομένα!G$2:G$8) - Δεδομένα!G4) / (MAX(Δεδομένα!G$2:G$8) - MIN(Δεδομένα!G$2:G$8))</f>
        <v>0.95</v>
      </c>
      <c r="H4" s="3">
        <f>(MAX(Δεδομένα!H$2:H$8) - Δεδομένα!H4) / (MAX(Δεδομένα!H$2:H$8) - MIN(Δεδομένα!H$2:H$8))</f>
        <v>0.8</v>
      </c>
      <c r="I4" s="3">
        <f>(Δεδομένα!I4 - MIN(Δεδομένα!I$2:I$8)) / (MAX(Δεδομένα!I$2:I$8) - MIN(Δεδομένα!I$2:I$8))</f>
        <v>0.25</v>
      </c>
      <c r="J4" s="3">
        <f>(Δεδομένα!J4 - MIN(Δεδομένα!J$2:J$8)) / (MAX(Δεδομένα!J$2:J$8) - MIN(Δεδομένα!J$2:J$8))</f>
        <v>0.5</v>
      </c>
      <c r="K4" s="3">
        <f>(Δεδομένα!K4 - MIN(Δεδομένα!K$2:K$8)) / (MAX(Δεδομένα!K$2:K$8) - MIN(Δεδομένα!K$2:K$8))</f>
        <v>0.63636363636363635</v>
      </c>
    </row>
    <row r="5" spans="1:11">
      <c r="A5" s="47" t="s">
        <v>14</v>
      </c>
      <c r="B5" s="3">
        <f>IF(Δεδομένα!B5&lt;=400, 1 - (Δεδομένα!B5-250)/(400-250)*(1-0.7), 0.7 - (Δεδομένα!B5-400)/(700-400)*0.7)</f>
        <v>0</v>
      </c>
      <c r="C5" s="3">
        <f>(Δεδομένα!C5 - MIN(Δεδομένα!C$2:C$8)) / (MAX(Δεδομένα!C$2:C$8) - MIN(Δεδομένα!C$2:C$8))</f>
        <v>1</v>
      </c>
      <c r="D5" s="3">
        <f>(Δεδομένα!D5 - MIN(Δεδομένα!D$2:D$8)) / (MAX(Δεδομένα!D$2:D$8) - MIN(Δεδομένα!D$2:D$8))</f>
        <v>1</v>
      </c>
      <c r="E5" s="3">
        <f>(Δεδομένα!E5 - MIN(Δεδομένα!E$2:E$8)) / (MAX(Δεδομένα!E$2:E$8) - MIN(Δεδομένα!E$2:E$8))</f>
        <v>1</v>
      </c>
      <c r="F5" s="3">
        <f>(Δεδομένα!F5 - MIN(Δεδομένα!F$2:F$8)) / (MAX(Δεδομένα!F$2:F$8) - MIN(Δεδομένα!F$2:F$8))</f>
        <v>1</v>
      </c>
      <c r="G5" s="3">
        <f>(MAX(Δεδομένα!G$2:G$8) - Δεδομένα!G5) / (MAX(Δεδομένα!G$2:G$8) - MIN(Δεδομένα!G$2:G$8))</f>
        <v>0</v>
      </c>
      <c r="H5" s="3">
        <f>(MAX(Δεδομένα!H$2:H$8) - Δεδομένα!H5) / (MAX(Δεδομένα!H$2:H$8) - MIN(Δεδομένα!H$2:H$8))</f>
        <v>0.7</v>
      </c>
      <c r="I5" s="3">
        <f>(Δεδομένα!I5 - MIN(Δεδομένα!I$2:I$8)) / (MAX(Δεδομένα!I$2:I$8) - MIN(Δεδομένα!I$2:I$8))</f>
        <v>1</v>
      </c>
      <c r="J5" s="3">
        <f>(Δεδομένα!J5 - MIN(Δεδομένα!J$2:J$8)) / (MAX(Δεδομένα!J$2:J$8) - MIN(Δεδομένα!J$2:J$8))</f>
        <v>0.25</v>
      </c>
      <c r="K5" s="3">
        <f>(Δεδομένα!K5 - MIN(Δεδομένα!K$2:K$8)) / (MAX(Δεδομένα!K$2:K$8) - MIN(Δεδομένα!K$2:K$8))</f>
        <v>1</v>
      </c>
    </row>
    <row r="6" spans="1:11">
      <c r="A6" s="47" t="s">
        <v>15</v>
      </c>
      <c r="B6" s="3">
        <f>IF(Δεδομένα!B6&lt;=400, 1 - (Δεδομένα!B6-250)/(400-250)*(1-0.7), 0.7 - (Δεδομένα!B6-400)/(700-400)*0.7)</f>
        <v>1</v>
      </c>
      <c r="C6" s="3">
        <f>(Δεδομένα!C6 - MIN(Δεδομένα!C$2:C$8)) / (MAX(Δεδομένα!C$2:C$8) - MIN(Δεδομένα!C$2:C$8))</f>
        <v>0</v>
      </c>
      <c r="D6" s="3">
        <f>(Δεδομένα!D6 - MIN(Δεδομένα!D$2:D$8)) / (MAX(Δεδομένα!D$2:D$8) - MIN(Δεδομένα!D$2:D$8))</f>
        <v>0</v>
      </c>
      <c r="E6" s="3">
        <f>(Δεδομένα!E6 - MIN(Δεδομένα!E$2:E$8)) / (MAX(Δεδομένα!E$2:E$8) - MIN(Δεδομένα!E$2:E$8))</f>
        <v>0</v>
      </c>
      <c r="F6" s="3">
        <f>(Δεδομένα!F6 - MIN(Δεδομένα!F$2:F$8)) / (MAX(Δεδομένα!F$2:F$8) - MIN(Δεδομένα!F$2:F$8))</f>
        <v>0</v>
      </c>
      <c r="G6" s="3">
        <f>(MAX(Δεδομένα!G$2:G$8) - Δεδομένα!G6) / (MAX(Δεδομένα!G$2:G$8) - MIN(Δεδομένα!G$2:G$8))</f>
        <v>1</v>
      </c>
      <c r="H6" s="3">
        <f>(MAX(Δεδομένα!H$2:H$8) - Δεδομένα!H6) / (MAX(Δεδομένα!H$2:H$8) - MIN(Δεδομένα!H$2:H$8))</f>
        <v>1</v>
      </c>
      <c r="I6" s="3">
        <f>(Δεδομένα!I6 - MIN(Δεδομένα!I$2:I$8)) / (MAX(Δεδομένα!I$2:I$8) - MIN(Δεδομένα!I$2:I$8))</f>
        <v>0</v>
      </c>
      <c r="J6" s="3">
        <f>(Δεδομένα!J6 - MIN(Δεδομένα!J$2:J$8)) / (MAX(Δεδομένα!J$2:J$8) - MIN(Δεδομένα!J$2:J$8))</f>
        <v>0</v>
      </c>
      <c r="K6" s="3">
        <f>(Δεδομένα!K6 - MIN(Δεδομένα!K$2:K$8)) / (MAX(Δεδομένα!K$2:K$8) - MIN(Δεδομένα!K$2:K$8))</f>
        <v>0.27272727272727271</v>
      </c>
    </row>
    <row r="7" spans="1:11">
      <c r="A7" s="47" t="s">
        <v>16</v>
      </c>
      <c r="B7" s="3">
        <f>IF(Δεδομένα!B7&lt;=400, 1 - (Δεδομένα!B7-250)/(400-250)*(1-0.7), 0.7 - (Δεδομένα!B7-400)/(700-400)*0.7)</f>
        <v>0.23333333333333334</v>
      </c>
      <c r="C7" s="3">
        <f>(Δεδομένα!C7 - MIN(Δεδομένα!C$2:C$8)) / (MAX(Δεδομένα!C$2:C$8) - MIN(Δεδομένα!C$2:C$8))</f>
        <v>0.76470588235294112</v>
      </c>
      <c r="D7" s="3">
        <f>(Δεδομένα!D7 - MIN(Δεδομένα!D$2:D$8)) / (MAX(Δεδομένα!D$2:D$8) - MIN(Δεδομένα!D$2:D$8))</f>
        <v>0.66666666666666663</v>
      </c>
      <c r="E7" s="3">
        <f>(Δεδομένα!E7 - MIN(Δεδομένα!E$2:E$8)) / (MAX(Δεδομένα!E$2:E$8) - MIN(Δεδομένα!E$2:E$8))</f>
        <v>1</v>
      </c>
      <c r="F7" s="3">
        <f>(Δεδομένα!F7 - MIN(Δεδομένα!F$2:F$8)) / (MAX(Δεδομένα!F$2:F$8) - MIN(Δεδομένα!F$2:F$8))</f>
        <v>1</v>
      </c>
      <c r="G7" s="3">
        <f>(MAX(Δεδομένα!G$2:G$8) - Δεδομένα!G7) / (MAX(Δεδομένα!G$2:G$8) - MIN(Δεδομένα!G$2:G$8))</f>
        <v>0.5</v>
      </c>
      <c r="H7" s="3">
        <f>(MAX(Δεδομένα!H$2:H$8) - Δεδομένα!H7) / (MAX(Δεδομένα!H$2:H$8) - MIN(Δεδομένα!H$2:H$8))</f>
        <v>0</v>
      </c>
      <c r="I7" s="3">
        <f>(Δεδομένα!I7 - MIN(Δεδομένα!I$2:I$8)) / (MAX(Δεδομένα!I$2:I$8) - MIN(Δεδομένα!I$2:I$8))</f>
        <v>0.75</v>
      </c>
      <c r="J7" s="3">
        <f>(Δεδομένα!J7 - MIN(Δεδομένα!J$2:J$8)) / (MAX(Δεδομένα!J$2:J$8) - MIN(Δεδομένα!J$2:J$8))</f>
        <v>0.75</v>
      </c>
      <c r="K7" s="3">
        <f>(Δεδομένα!K7 - MIN(Δεδομένα!K$2:K$8)) / (MAX(Δεδομένα!K$2:K$8) - MIN(Δεδομένα!K$2:K$8))</f>
        <v>0.54545454545454541</v>
      </c>
    </row>
    <row r="8" spans="1:11">
      <c r="A8" s="47" t="s">
        <v>17</v>
      </c>
      <c r="B8" s="3">
        <f>IF(Δεδομένα!B8&lt;=400, 1 - (Δεδομένα!B8-250)/(400-250)*(1-0.7), 0.7 - (Δεδομένα!B8-400)/(700-400)*0.7)</f>
        <v>0.9</v>
      </c>
      <c r="C8" s="3">
        <f>(Δεδομένα!C8 - MIN(Δεδομένα!C$2:C$8)) / (MAX(Δεδομένα!C$2:C$8) - MIN(Δεδομένα!C$2:C$8))</f>
        <v>0.17647058823529413</v>
      </c>
      <c r="D8" s="3">
        <f>(Δεδομένα!D8 - MIN(Δεδομένα!D$2:D$8)) / (MAX(Δεδομένα!D$2:D$8) - MIN(Δεδομένα!D$2:D$8))</f>
        <v>0.33333333333333331</v>
      </c>
      <c r="E8" s="3">
        <f>(Δεδομένα!E8 - MIN(Δεδομένα!E$2:E$8)) / (MAX(Δεδομένα!E$2:E$8) - MIN(Δεδομένα!E$2:E$8))</f>
        <v>0</v>
      </c>
      <c r="F8" s="3">
        <f>(Δεδομένα!F8 - MIN(Δεδομένα!F$2:F$8)) / (MAX(Δεδομένα!F$2:F$8) - MIN(Δεδομένα!F$2:F$8))</f>
        <v>0</v>
      </c>
      <c r="G8" s="3">
        <f>(MAX(Δεδομένα!G$2:G$8) - Δεδομένα!G8) / (MAX(Δεδομένα!G$2:G$8) - MIN(Δεδομένα!G$2:G$8))</f>
        <v>0.97499999999999998</v>
      </c>
      <c r="H8" s="3">
        <f>(MAX(Δεδομένα!H$2:H$8) - Δεδομένα!H8) / (MAX(Δεδομένα!H$2:H$8) - MIN(Δεδομένα!H$2:H$8))</f>
        <v>0.9</v>
      </c>
      <c r="I8" s="3">
        <f>(Δεδομένα!I8 - MIN(Δεδομένα!I$2:I$8)) / (MAX(Δεδομένα!I$2:I$8) - MIN(Δεδομένα!I$2:I$8))</f>
        <v>0.25</v>
      </c>
      <c r="J8" s="3">
        <f>(Δεδομένα!J8 - MIN(Δεδομένα!J$2:J$8)) / (MAX(Δεδομένα!J$2:J$8) - MIN(Δεδομένα!J$2:J$8))</f>
        <v>0.25</v>
      </c>
      <c r="K8" s="3">
        <f>(Δεδομένα!K8 - MIN(Δεδομένα!K$2:K$8)) / (MAX(Δεδομένα!K$2:K$8) - MIN(Δεδομένα!K$2:K$8))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0463-0639-4F85-A39C-B87AEB3A3993}">
  <dimension ref="A1:E8"/>
  <sheetViews>
    <sheetView workbookViewId="0">
      <selection activeCell="C15" sqref="C15"/>
    </sheetView>
  </sheetViews>
  <sheetFormatPr defaultRowHeight="15"/>
  <cols>
    <col min="1" max="1" width="30.28515625" bestFit="1" customWidth="1"/>
    <col min="2" max="2" width="27.7109375" bestFit="1" customWidth="1"/>
    <col min="3" max="3" width="32.7109375" bestFit="1" customWidth="1"/>
    <col min="4" max="4" width="38.140625" bestFit="1" customWidth="1"/>
    <col min="5" max="5" width="30.42578125" bestFit="1" customWidth="1"/>
  </cols>
  <sheetData>
    <row r="1" spans="1:5">
      <c r="A1" s="46" t="s">
        <v>18</v>
      </c>
      <c r="B1" s="46" t="s">
        <v>19</v>
      </c>
      <c r="C1" s="46" t="s">
        <v>20</v>
      </c>
      <c r="D1" s="46" t="s">
        <v>21</v>
      </c>
      <c r="E1" s="46" t="s">
        <v>22</v>
      </c>
    </row>
    <row r="2" spans="1:5">
      <c r="A2" s="48" t="s">
        <v>11</v>
      </c>
      <c r="B2" s="25" cm="1">
        <f t="array" ref="B2">SUMPRODUCT(Κανονικοποίηση!$B2:$K2, TRANSPOSE(Βάρη!$E$2:$E$11))</f>
        <v>0.56319522281639933</v>
      </c>
      <c r="C2" s="25" cm="1">
        <f t="array" ref="C2">SUMPRODUCT(Κανονικοποίηση!$B2:$K2, TRANSPOSE(Βάρη!$C$2:$C$11))</f>
        <v>0.5739953005995786</v>
      </c>
      <c r="D2" s="25" cm="1">
        <f t="array" ref="D2">SUMPRODUCT(Κανονικοποίηση!$B2:$K2, TRANSPOSE(Βάρη!$D$2:$D$11))</f>
        <v>0.56179238208813365</v>
      </c>
      <c r="E2" s="25" cm="1">
        <f t="array" ref="E2">SUMPRODUCT(Κανονικοποίηση!$B2:$K2, TRANSPOSE(Βάρη!$F$2:$F$11))</f>
        <v>0.56035893696321504</v>
      </c>
    </row>
    <row r="3" spans="1:5">
      <c r="A3" s="48" t="s">
        <v>12</v>
      </c>
      <c r="B3" s="25" cm="1">
        <f t="array" ref="B3">SUMPRODUCT(Κανονικοποίηση!$B3:$K3, TRANSPOSE(Βάρη!$E$2:$E$11))</f>
        <v>0.46940687165775408</v>
      </c>
      <c r="C3" s="25" cm="1">
        <f t="array" ref="C3">SUMPRODUCT(Κανονικοποίηση!$B3:$K3, TRANSPOSE(Βάρη!$C$2:$C$11))</f>
        <v>0.45337870685464271</v>
      </c>
      <c r="D3" s="25" cm="1">
        <f t="array" ref="D3">SUMPRODUCT(Κανονικοποίηση!$B3:$K3, TRANSPOSE(Βάρη!$D$2:$D$11))</f>
        <v>0.50923349226623937</v>
      </c>
      <c r="E3" s="25" cm="1">
        <f t="array" ref="E3">SUMPRODUCT(Κανονικοποίηση!$B3:$K3, TRANSPOSE(Βάρη!$F$2:$F$11))</f>
        <v>0.44428779776373362</v>
      </c>
    </row>
    <row r="4" spans="1:5">
      <c r="A4" s="48" t="s">
        <v>13</v>
      </c>
      <c r="B4" s="25" cm="1">
        <f t="array" ref="B4">SUMPRODUCT(Κανονικοποίηση!$B4:$K4, TRANSPOSE(Βάρη!$E$2:$E$11))</f>
        <v>0.64414335115864529</v>
      </c>
      <c r="C4" s="25" cm="1">
        <f t="array" ref="C4">SUMPRODUCT(Κανονικοποίηση!$B4:$K4, TRANSPOSE(Βάρη!$C$2:$C$11))</f>
        <v>0.62228326041160253</v>
      </c>
      <c r="D4" s="25" cm="1">
        <f t="array" ref="D4">SUMPRODUCT(Κανονικοποίηση!$B4:$K4, TRANSPOSE(Βάρη!$D$2:$D$11))</f>
        <v>0.64919213734932946</v>
      </c>
      <c r="E4" s="25" cm="1">
        <f t="array" ref="E4">SUMPRODUCT(Κανονικοποίηση!$B4:$K4, TRANSPOSE(Βάρη!$F$2:$F$11))</f>
        <v>0.60682871495705726</v>
      </c>
    </row>
    <row r="5" spans="1:5">
      <c r="A5" s="48" t="s">
        <v>14</v>
      </c>
      <c r="B5" s="25" cm="1">
        <f t="array" ref="B5">SUMPRODUCT(Κανονικοποίηση!$B5:$K5, TRANSPOSE(Βάρη!$E$2:$E$11))</f>
        <v>0.57999499999999993</v>
      </c>
      <c r="C5" s="25" cm="1">
        <f t="array" ref="C5">SUMPRODUCT(Κανονικοποίηση!$B5:$K5, TRANSPOSE(Βάρη!$C$2:$C$11))</f>
        <v>0.64727272727272733</v>
      </c>
      <c r="D5" s="25" cm="1">
        <f t="array" ref="D5">SUMPRODUCT(Κανονικοποίηση!$B5:$K5, TRANSPOSE(Βάρη!$D$2:$D$11))</f>
        <v>0.53197398726459832</v>
      </c>
      <c r="E5" s="25" cm="1">
        <f t="array" ref="E5">SUMPRODUCT(Κανονικοποίηση!$B5:$K5, TRANSPOSE(Βάρη!$F$2:$F$11))</f>
        <v>0.67818181818181811</v>
      </c>
    </row>
    <row r="6" spans="1:5">
      <c r="A6" s="48" t="s">
        <v>15</v>
      </c>
      <c r="B6" s="25" cm="1">
        <f t="array" ref="B6">SUMPRODUCT(Κανονικοποίηση!$B6:$K6, TRANSPOSE(Βάρη!$E$2:$E$11))</f>
        <v>0.44185454545454544</v>
      </c>
      <c r="C6" s="25" cm="1">
        <f t="array" ref="C6">SUMPRODUCT(Κανονικοποίηση!$B6:$K6, TRANSPOSE(Βάρη!$C$2:$C$11))</f>
        <v>0.36859504132231408</v>
      </c>
      <c r="D6" s="25" cm="1">
        <f t="array" ref="D6">SUMPRODUCT(Κανονικοποίηση!$B6:$K6, TRANSPOSE(Βάρη!$D$2:$D$11))</f>
        <v>0.47875996107943009</v>
      </c>
      <c r="E6" s="25" cm="1">
        <f t="array" ref="E6">SUMPRODUCT(Κανονικοποίηση!$B6:$K6, TRANSPOSE(Βάρη!$F$2:$F$11))</f>
        <v>0.35041322314049589</v>
      </c>
    </row>
    <row r="7" spans="1:5">
      <c r="A7" s="48" t="s">
        <v>16</v>
      </c>
      <c r="B7" s="25" cm="1">
        <f t="array" ref="B7">SUMPRODUCT(Κανονικοποίηση!$B7:$K7, TRANSPOSE(Βάρη!$E$2:$E$11))</f>
        <v>0.56080585561497331</v>
      </c>
      <c r="C7" s="25" cm="1">
        <f t="array" ref="C7">SUMPRODUCT(Κανονικοποίηση!$B7:$K7, TRANSPOSE(Βάρη!$C$2:$C$11))</f>
        <v>0.61080862096904875</v>
      </c>
      <c r="D7" s="25" cm="1">
        <f t="array" ref="D7">SUMPRODUCT(Κανονικοποίηση!$B7:$K7, TRANSPOSE(Βάρη!$D$2:$D$11))</f>
        <v>0.53271697022344555</v>
      </c>
      <c r="E7" s="25" cm="1">
        <f t="array" ref="E7">SUMPRODUCT(Κανονικοποίηση!$B7:$K7, TRANSPOSE(Βάρη!$F$2:$F$11))</f>
        <v>0.62444498460541231</v>
      </c>
    </row>
    <row r="8" spans="1:5">
      <c r="A8" s="48" t="s">
        <v>17</v>
      </c>
      <c r="B8" s="25" cm="1">
        <f t="array" ref="B8">SUMPRODUCT(Κανονικοποίηση!$B8:$K8, TRANSPOSE(Βάρη!$E$2:$E$11))</f>
        <v>0.50600950980392156</v>
      </c>
      <c r="C8" s="25" cm="1">
        <f t="array" ref="C8">SUMPRODUCT(Κανονικοποίηση!$B8:$K8, TRANSPOSE(Βάρη!$C$2:$C$11))</f>
        <v>0.45054367201426021</v>
      </c>
      <c r="D8" s="25" cm="1">
        <f t="array" ref="D8">SUMPRODUCT(Κανονικοποίηση!$B8:$K8, TRANSPOSE(Βάρη!$D$2:$D$11))</f>
        <v>0.5235202467384461</v>
      </c>
      <c r="E8" s="25" cm="1">
        <f t="array" ref="E8">SUMPRODUCT(Κανονικοποίηση!$B8:$K8, TRANSPOSE(Βάρη!$F$2:$F$11))</f>
        <v>0.41781639928698744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FF51-F821-4276-8730-B817527325D5}">
  <dimension ref="A1:F8"/>
  <sheetViews>
    <sheetView workbookViewId="0">
      <selection activeCell="B1" sqref="B1"/>
    </sheetView>
  </sheetViews>
  <sheetFormatPr defaultRowHeight="15"/>
  <cols>
    <col min="1" max="1" width="30.42578125" bestFit="1" customWidth="1"/>
    <col min="2" max="2" width="14.140625" bestFit="1" customWidth="1"/>
    <col min="3" max="3" width="9.5703125" bestFit="1" customWidth="1"/>
    <col min="4" max="4" width="8" bestFit="1" customWidth="1"/>
    <col min="5" max="5" width="12.5703125" bestFit="1" customWidth="1"/>
    <col min="6" max="6" width="18.42578125" bestFit="1" customWidth="1"/>
  </cols>
  <sheetData>
    <row r="1" spans="1:6">
      <c r="A1" s="46" t="s">
        <v>23</v>
      </c>
      <c r="B1" s="46" t="s">
        <v>24</v>
      </c>
      <c r="C1" s="46" t="s">
        <v>25</v>
      </c>
      <c r="D1" s="46" t="s">
        <v>26</v>
      </c>
      <c r="E1" s="46" t="s">
        <v>27</v>
      </c>
      <c r="F1" s="46" t="s">
        <v>28</v>
      </c>
    </row>
    <row r="2" spans="1:6">
      <c r="A2" s="48" t="s">
        <v>11</v>
      </c>
      <c r="B2" s="88" cm="1">
        <f t="array" ref="B2:B8">TOPSIS!N13:N19</f>
        <v>0.57989445246976068</v>
      </c>
      <c r="C2" s="88" cm="1">
        <f t="array" ref="C2:C8">TOPSIS!N25:N31</f>
        <v>0.59484370405205267</v>
      </c>
      <c r="D2" s="88" cm="1">
        <f t="array" ref="D2:D8">TOPSIS!N37:N43</f>
        <v>0.5504223570737512</v>
      </c>
      <c r="E2" s="88" cm="1">
        <f t="array" ref="E2:E8">TOPSIS!N49:N55</f>
        <v>0.55636756798004416</v>
      </c>
      <c r="F2" s="88">
        <f>_xlfn.RANK.EQ(B2, $B$2:$B$8, 0)</f>
        <v>2</v>
      </c>
    </row>
    <row r="3" spans="1:6">
      <c r="A3" s="48" t="s">
        <v>12</v>
      </c>
      <c r="B3" s="88">
        <v>0.48180175193253943</v>
      </c>
      <c r="C3" s="88">
        <v>0.46377531179839482</v>
      </c>
      <c r="D3" s="88">
        <v>0.52641899073047682</v>
      </c>
      <c r="E3" s="88">
        <v>0.45365010918253362</v>
      </c>
      <c r="F3" s="88">
        <f>_xlfn.RANK.EQ(B3, $B$2:$B$8, 0)</f>
        <v>5</v>
      </c>
    </row>
    <row r="4" spans="1:6">
      <c r="A4" s="48" t="s">
        <v>13</v>
      </c>
      <c r="B4" s="88">
        <v>0.64121118931932886</v>
      </c>
      <c r="C4" s="88">
        <v>0.61537352316337224</v>
      </c>
      <c r="D4" s="88">
        <v>0.65259229834651944</v>
      </c>
      <c r="E4" s="88">
        <v>0.56834860106174712</v>
      </c>
      <c r="F4" s="88">
        <f>_xlfn.RANK.EQ(B4, $B$2:$B$8, 0)</f>
        <v>1</v>
      </c>
    </row>
    <row r="5" spans="1:6">
      <c r="A5" s="48" t="s">
        <v>14</v>
      </c>
      <c r="B5" s="88">
        <v>0.4731575665921145</v>
      </c>
      <c r="C5" s="88">
        <v>0.5278291130104974</v>
      </c>
      <c r="D5" s="88">
        <v>0.43101673950350716</v>
      </c>
      <c r="E5" s="88">
        <v>0.58990113130402166</v>
      </c>
      <c r="F5" s="88">
        <f t="shared" ref="F3:F8" si="0">_xlfn.RANK.EQ(B5, $B$2:$B$8, 0)</f>
        <v>6</v>
      </c>
    </row>
    <row r="6" spans="1:6">
      <c r="A6" s="48" t="s">
        <v>15</v>
      </c>
      <c r="B6" s="88">
        <v>0.5343006801900213</v>
      </c>
      <c r="C6" s="88">
        <v>0.48839442442223474</v>
      </c>
      <c r="D6" s="88">
        <v>0.57509938248064862</v>
      </c>
      <c r="E6" s="88">
        <v>0.45054699600427378</v>
      </c>
      <c r="F6" s="88">
        <f t="shared" si="0"/>
        <v>4</v>
      </c>
    </row>
    <row r="7" spans="1:6">
      <c r="A7" s="48" t="s">
        <v>16</v>
      </c>
      <c r="B7" s="88">
        <v>0.46101088854267458</v>
      </c>
      <c r="C7" s="88">
        <v>0.4866550235192188</v>
      </c>
      <c r="D7" s="88">
        <v>0.4274485630046248</v>
      </c>
      <c r="E7" s="88">
        <v>0.56319271140410754</v>
      </c>
      <c r="F7" s="88">
        <f t="shared" si="0"/>
        <v>7</v>
      </c>
    </row>
    <row r="8" spans="1:6">
      <c r="A8" s="48" t="s">
        <v>17</v>
      </c>
      <c r="B8" s="88">
        <v>0.57226495245579712</v>
      </c>
      <c r="C8" s="88">
        <v>0.52906326233987999</v>
      </c>
      <c r="D8" s="88">
        <v>0.60268934558748388</v>
      </c>
      <c r="E8" s="88">
        <v>0.467316496900467</v>
      </c>
      <c r="F8" s="88">
        <f t="shared" si="0"/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0A6C-5661-401D-B7AD-4A3D0FCEDC06}">
  <dimension ref="A1:G12"/>
  <sheetViews>
    <sheetView workbookViewId="0">
      <selection activeCell="E3" sqref="E3"/>
    </sheetView>
  </sheetViews>
  <sheetFormatPr defaultRowHeight="15"/>
  <cols>
    <col min="1" max="1" width="15.85546875" bestFit="1" customWidth="1"/>
    <col min="2" max="2" width="9.85546875" bestFit="1" customWidth="1"/>
    <col min="3" max="3" width="16.140625" bestFit="1" customWidth="1"/>
    <col min="4" max="4" width="22.5703125" bestFit="1" customWidth="1"/>
    <col min="5" max="5" width="8" bestFit="1" customWidth="1"/>
    <col min="6" max="6" width="23.5703125" bestFit="1" customWidth="1"/>
  </cols>
  <sheetData>
    <row r="1" spans="1:7">
      <c r="A1" s="46" t="s">
        <v>29</v>
      </c>
      <c r="B1" s="46" t="s">
        <v>30</v>
      </c>
      <c r="C1" s="46" t="s">
        <v>31</v>
      </c>
      <c r="D1" s="46" t="s">
        <v>32</v>
      </c>
      <c r="E1" s="46" t="s">
        <v>33</v>
      </c>
      <c r="F1" s="46" t="s">
        <v>34</v>
      </c>
    </row>
    <row r="2" spans="1:7">
      <c r="A2" s="49" t="s">
        <v>35</v>
      </c>
      <c r="B2" s="2">
        <v>1</v>
      </c>
      <c r="C2" s="2">
        <f>(10 - B2 + 1) / (10 * (10 + 1) / 2)</f>
        <v>0.18181818181818182</v>
      </c>
      <c r="D2" s="2">
        <f>(1 / B2) / (1/1 + 1/2 + 1/3 + 1/4 + 1/5 + 1/6 + 1/7 + 1/8 + 1/9 + 1/10)</f>
        <v>0.34141715214740553</v>
      </c>
      <c r="E2" s="2">
        <v>0.29289999999999999</v>
      </c>
      <c r="F2" s="2">
        <f>G2 / SUM(G$2:G$11)</f>
        <v>0.18181818181818182</v>
      </c>
      <c r="G2">
        <v>100</v>
      </c>
    </row>
    <row r="3" spans="1:7">
      <c r="A3" s="49" t="s">
        <v>36</v>
      </c>
      <c r="B3" s="2">
        <v>2</v>
      </c>
      <c r="C3" s="2">
        <f t="shared" ref="C3:C4" si="0">(10 - B3 + 1) / (10 * (10 + 1) / 2)</f>
        <v>0.16363636363636364</v>
      </c>
      <c r="D3" s="2">
        <f t="shared" ref="D3:D4" si="1">(1 / B3) / (1/1 + 1/2 + 1/3 + 1/4 + 1/5 + 1/6 + 1/7 + 1/8 + 1/9 + 1/10)</f>
        <v>0.17070857607370277</v>
      </c>
      <c r="E3" s="2">
        <v>0.19289999999999999</v>
      </c>
      <c r="F3" s="2">
        <f t="shared" ref="F3:F11" si="2">G3 / SUM(G$2:G$11)</f>
        <v>0.16363636363636364</v>
      </c>
      <c r="G3">
        <v>90</v>
      </c>
    </row>
    <row r="4" spans="1:7">
      <c r="A4" s="49" t="s">
        <v>37</v>
      </c>
      <c r="B4" s="2">
        <v>3</v>
      </c>
      <c r="C4" s="2">
        <f t="shared" si="0"/>
        <v>0.14545454545454545</v>
      </c>
      <c r="D4" s="2">
        <f t="shared" si="1"/>
        <v>0.1138057173824685</v>
      </c>
      <c r="E4" s="2">
        <v>0.1429</v>
      </c>
      <c r="F4" s="2">
        <f t="shared" si="2"/>
        <v>0.14545454545454545</v>
      </c>
      <c r="G4">
        <v>80</v>
      </c>
    </row>
    <row r="5" spans="1:7">
      <c r="A5" s="49" t="s">
        <v>38</v>
      </c>
      <c r="B5" s="2">
        <v>7</v>
      </c>
      <c r="C5" s="2">
        <f>(10 - B5 + 1) / (10 * (10 + 1) / 2)</f>
        <v>7.2727272727272724E-2</v>
      </c>
      <c r="D5" s="2">
        <f>(1 / B5) / (1/1 + 1/2 + 1/3 + 1/4 + 1/5 + 1/6 + 1/7 + 1/8 + 1/9 + 1/10)</f>
        <v>4.877387887820079E-2</v>
      </c>
      <c r="E5" s="2">
        <v>4.7899999999999998E-2</v>
      </c>
      <c r="F5" s="2">
        <f t="shared" si="2"/>
        <v>0.12727272727272726</v>
      </c>
      <c r="G5">
        <v>70</v>
      </c>
    </row>
    <row r="6" spans="1:7">
      <c r="A6" s="49" t="s">
        <v>39</v>
      </c>
      <c r="B6" s="2">
        <v>6</v>
      </c>
      <c r="C6" s="2">
        <f>(10 - B6 + 1) / (10 * (10 + 1) / 2)</f>
        <v>9.0909090909090912E-2</v>
      </c>
      <c r="D6" s="2">
        <f>(1 / B6) / (1/1 + 1/2 + 1/3 + 1/4 + 1/5 + 1/6 + 1/7 + 1/8 + 1/9 + 1/10)</f>
        <v>5.6902858691234251E-2</v>
      </c>
      <c r="E6" s="2">
        <v>6.4600000000000005E-2</v>
      </c>
      <c r="F6" s="2">
        <f t="shared" si="2"/>
        <v>0.10909090909090909</v>
      </c>
      <c r="G6">
        <v>60</v>
      </c>
    </row>
    <row r="7" spans="1:7">
      <c r="A7" s="49" t="s">
        <v>40</v>
      </c>
      <c r="B7" s="2">
        <v>4</v>
      </c>
      <c r="C7" s="2">
        <f>(10 - B7 + 1) / (10 * (10 + 1) / 2)</f>
        <v>0.12727272727272726</v>
      </c>
      <c r="D7" s="2">
        <f>(1 / B7) / (1/1 + 1/2 + 1/3 + 1/4 + 1/5 + 1/6 + 1/7 + 1/8 + 1/9 + 1/10)</f>
        <v>8.5354288036851383E-2</v>
      </c>
      <c r="E7" s="2">
        <v>0.1096</v>
      </c>
      <c r="F7" s="2">
        <f t="shared" si="2"/>
        <v>9.0909090909090912E-2</v>
      </c>
      <c r="G7">
        <v>50</v>
      </c>
    </row>
    <row r="8" spans="1:7">
      <c r="A8" s="49" t="s">
        <v>41</v>
      </c>
      <c r="B8" s="2">
        <v>8</v>
      </c>
      <c r="C8" s="2">
        <f>(10 - B8 + 1) / (10 * (10 + 1) / 2)</f>
        <v>5.4545454545454543E-2</v>
      </c>
      <c r="D8" s="2">
        <f>(1 / B8) / (1/1 + 1/2 + 1/3 + 1/4 + 1/5 + 1/6 + 1/7 + 1/8 + 1/9 + 1/10)</f>
        <v>4.2677144018425692E-2</v>
      </c>
      <c r="E8" s="2">
        <v>3.3599999999999998E-2</v>
      </c>
      <c r="F8" s="2">
        <f t="shared" si="2"/>
        <v>7.2727272727272724E-2</v>
      </c>
      <c r="G8">
        <v>40</v>
      </c>
    </row>
    <row r="9" spans="1:7">
      <c r="A9" s="49" t="s">
        <v>42</v>
      </c>
      <c r="B9" s="2">
        <v>5</v>
      </c>
      <c r="C9" s="2">
        <f>(10 - B9 + 1) / (10 * (10 + 1) / 2)</f>
        <v>0.10909090909090909</v>
      </c>
      <c r="D9" s="2">
        <f>(1 / B9) / (1/1 + 1/2 + 1/3 + 1/4 + 1/5 + 1/6 + 1/7 + 1/8 + 1/9 + 1/10)</f>
        <v>6.828343042948111E-2</v>
      </c>
      <c r="E9" s="2">
        <v>8.4599999999999995E-2</v>
      </c>
      <c r="F9" s="2">
        <f t="shared" si="2"/>
        <v>5.4545454545454543E-2</v>
      </c>
      <c r="G9">
        <v>30</v>
      </c>
    </row>
    <row r="10" spans="1:7">
      <c r="A10" s="49" t="s">
        <v>43</v>
      </c>
      <c r="B10" s="2">
        <v>9</v>
      </c>
      <c r="C10" s="2">
        <f>(10 - B10 + 1) / (10 * (10 + 1) / 2)</f>
        <v>3.6363636363636362E-2</v>
      </c>
      <c r="D10" s="2">
        <f>(1 / B10) / (1/1 + 1/2 + 1/3 + 1/4 + 1/5 + 1/6 + 1/7 + 1/8 + 1/9 + 1/10)</f>
        <v>3.7935239127489501E-2</v>
      </c>
      <c r="E10" s="2">
        <v>9.9000000000000008E-3</v>
      </c>
      <c r="F10" s="2">
        <f t="shared" si="2"/>
        <v>3.6363636363636362E-2</v>
      </c>
      <c r="G10">
        <v>20</v>
      </c>
    </row>
    <row r="11" spans="1:7">
      <c r="A11" s="49" t="s">
        <v>44</v>
      </c>
      <c r="B11" s="2">
        <v>10</v>
      </c>
      <c r="C11" s="2">
        <f>(10 - B11 + 1) / (10 * (10 + 1) / 2)</f>
        <v>1.8181818181818181E-2</v>
      </c>
      <c r="D11" s="2">
        <f>(1 / B11) / (1/1 + 1/2 + 1/3 + 1/4 + 1/5 + 1/6 + 1/7 + 1/8 + 1/9 + 1/10)</f>
        <v>3.4141715214740555E-2</v>
      </c>
      <c r="E11" s="2">
        <v>2.1100000000000001E-2</v>
      </c>
      <c r="F11" s="2">
        <f t="shared" si="2"/>
        <v>1.8181818181818181E-2</v>
      </c>
      <c r="G11">
        <v>10</v>
      </c>
    </row>
    <row r="12" spans="1:7">
      <c r="A12" s="49" t="s">
        <v>45</v>
      </c>
      <c r="B12" s="2"/>
      <c r="C12" s="1">
        <f ca="1">SUM(C2:C16)</f>
        <v>1</v>
      </c>
      <c r="D12" s="1">
        <f ca="1">SUM(D2:D16)</f>
        <v>1.0000000000000002</v>
      </c>
      <c r="E12" s="1">
        <f ca="1">SUM(E2:E16)</f>
        <v>1</v>
      </c>
      <c r="F12" s="1">
        <f ca="1">SUM(F2:F16)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CAEA-3213-4F9D-BD9F-462CC5A56836}">
  <dimension ref="A1:U9"/>
  <sheetViews>
    <sheetView workbookViewId="0">
      <selection activeCell="B2" sqref="B2"/>
    </sheetView>
  </sheetViews>
  <sheetFormatPr defaultRowHeight="15"/>
  <cols>
    <col min="1" max="1" width="30.42578125" bestFit="1" customWidth="1"/>
    <col min="2" max="8" width="12.5703125" bestFit="1" customWidth="1"/>
    <col min="9" max="9" width="14.5703125" bestFit="1" customWidth="1"/>
    <col min="10" max="10" width="9.28515625" bestFit="1" customWidth="1"/>
    <col min="11" max="11" width="12.5703125" bestFit="1" customWidth="1"/>
    <col min="12" max="13" width="12.42578125" bestFit="1" customWidth="1"/>
    <col min="14" max="14" width="12.5703125" customWidth="1"/>
    <col min="15" max="16" width="12.42578125" bestFit="1" customWidth="1"/>
    <col min="17" max="17" width="14.42578125" bestFit="1" customWidth="1"/>
    <col min="18" max="18" width="10.7109375" bestFit="1" customWidth="1"/>
    <col min="19" max="19" width="9.28515625" bestFit="1" customWidth="1"/>
    <col min="20" max="20" width="13.42578125" bestFit="1" customWidth="1"/>
    <col min="21" max="21" width="10.7109375" bestFit="1" customWidth="1"/>
  </cols>
  <sheetData>
    <row r="1" spans="1:21">
      <c r="L1" s="46" t="s">
        <v>46</v>
      </c>
      <c r="M1" s="46" t="s">
        <v>46</v>
      </c>
      <c r="N1" s="46" t="s">
        <v>46</v>
      </c>
      <c r="O1" s="46" t="s">
        <v>46</v>
      </c>
      <c r="P1" s="46" t="s">
        <v>46</v>
      </c>
      <c r="Q1" s="46" t="s">
        <v>47</v>
      </c>
      <c r="R1" s="46" t="s">
        <v>47</v>
      </c>
      <c r="S1" s="46" t="s">
        <v>47</v>
      </c>
      <c r="T1" s="46" t="s">
        <v>47</v>
      </c>
      <c r="U1" s="46" t="s">
        <v>47</v>
      </c>
    </row>
    <row r="2" spans="1:21">
      <c r="A2" s="46" t="s">
        <v>18</v>
      </c>
      <c r="B2" s="46" t="s">
        <v>48</v>
      </c>
      <c r="C2" s="46" t="s">
        <v>49</v>
      </c>
      <c r="D2" s="46" t="s">
        <v>50</v>
      </c>
      <c r="E2" s="46" t="s">
        <v>51</v>
      </c>
      <c r="F2" s="46" t="s">
        <v>52</v>
      </c>
      <c r="G2" s="46" t="s">
        <v>53</v>
      </c>
      <c r="H2" s="46" t="s">
        <v>54</v>
      </c>
      <c r="I2" s="46" t="s">
        <v>55</v>
      </c>
      <c r="J2" s="46" t="s">
        <v>56</v>
      </c>
      <c r="K2" s="46" t="s">
        <v>57</v>
      </c>
      <c r="L2" s="46" t="s">
        <v>58</v>
      </c>
      <c r="M2" s="46" t="s">
        <v>59</v>
      </c>
      <c r="N2" s="46" t="s">
        <v>60</v>
      </c>
      <c r="O2" s="46" t="s">
        <v>61</v>
      </c>
      <c r="P2" s="46" t="s">
        <v>62</v>
      </c>
      <c r="Q2" s="46" t="s">
        <v>58</v>
      </c>
      <c r="R2" s="46" t="s">
        <v>59</v>
      </c>
      <c r="S2" s="46" t="s">
        <v>61</v>
      </c>
      <c r="T2" s="46" t="s">
        <v>60</v>
      </c>
      <c r="U2" s="46" t="s">
        <v>62</v>
      </c>
    </row>
    <row r="3" spans="1:21">
      <c r="A3" s="48" t="s">
        <v>11</v>
      </c>
      <c r="B3" s="8">
        <f>'Σταθμισμένο Άθροισμα'!B2</f>
        <v>0.56319522281639933</v>
      </c>
      <c r="C3" s="8">
        <f>'Σταθμισμένο Άθροισμα'!C2</f>
        <v>0.5739953005995786</v>
      </c>
      <c r="D3" s="8">
        <f>'Σταθμισμένο Άθροισμα'!D2</f>
        <v>0.56179238208813365</v>
      </c>
      <c r="E3" s="9">
        <f>'Σταθμισμένο Άθροισμα'!E2</f>
        <v>0.56035893696321504</v>
      </c>
      <c r="F3" s="8" cm="1">
        <f t="array" ref="F3:F9">TOPSIS!N13:N19</f>
        <v>0.57989445246976068</v>
      </c>
      <c r="G3" s="8" cm="1">
        <f t="array" ref="G3:G9">TOPSIS!N25:N31</f>
        <v>0.59484370405205267</v>
      </c>
      <c r="H3" s="8" cm="1">
        <f t="array" ref="H3:H9">TOPSIS!N37:N43</f>
        <v>0.5504223570737512</v>
      </c>
      <c r="I3" s="9" cm="1">
        <f t="array" ref="I3:I9">TOPSIS!N49:N55</f>
        <v>0.55636756798004416</v>
      </c>
      <c r="J3" s="25">
        <f>Κανονικοποίηση!B2*AHP!$L$17 + Κανονικοποίηση!C2*AHP!$L$18 + Κανονικοποίηση!D2*AHP!$L$19 + Κανονικοποίηση!E2*AHP!$L$20 + Κανονικοποίηση!F2*AHP!$L$21 + Κανονικοποίηση!G2*AHP!$L$22 + Κανονικοποίηση!H2*AHP!$L$23 + Κανονικοποίηση!I2*AHP!$L$24 + Κανονικοποίηση!J2*AHP!$L$25 + Κανονικοποίηση!K2*AHP!$L$26</f>
        <v>0.55947471596344123</v>
      </c>
      <c r="K3" s="41">
        <f>AHP!B247</f>
        <v>7.964144309682733E-2</v>
      </c>
      <c r="L3" s="25">
        <f>PROMETHEE!E61</f>
        <v>4</v>
      </c>
      <c r="M3" s="25">
        <f>PROMETHEE!E71</f>
        <v>4</v>
      </c>
      <c r="N3" s="9">
        <f>PROMETHEE!K61</f>
        <v>4</v>
      </c>
      <c r="O3" s="25">
        <f>PROMETHEE!E81</f>
        <v>3</v>
      </c>
      <c r="P3" s="43">
        <f>PROMETHEE!K71</f>
        <v>4</v>
      </c>
      <c r="Q3" s="41">
        <f>ELECTRE!E62</f>
        <v>3</v>
      </c>
      <c r="R3" s="25">
        <f>ELECTRE!E72</f>
        <v>3</v>
      </c>
      <c r="S3" s="25">
        <f>ELECTRE!E82</f>
        <v>3</v>
      </c>
      <c r="T3" s="25">
        <f>ELECTRE!K62</f>
        <v>3</v>
      </c>
      <c r="U3" s="25">
        <f>ELECTRE!K72</f>
        <v>3</v>
      </c>
    </row>
    <row r="4" spans="1:21">
      <c r="A4" s="48" t="s">
        <v>12</v>
      </c>
      <c r="B4" s="8">
        <f>'Σταθμισμένο Άθροισμα'!B3</f>
        <v>0.46940687165775408</v>
      </c>
      <c r="C4" s="8">
        <f>'Σταθμισμένο Άθροισμα'!C3</f>
        <v>0.45337870685464271</v>
      </c>
      <c r="D4" s="8">
        <f>'Σταθμισμένο Άθροισμα'!D3</f>
        <v>0.50923349226623937</v>
      </c>
      <c r="E4" s="9">
        <f>'Σταθμισμένο Άθροισμα'!E3</f>
        <v>0.44428779776373362</v>
      </c>
      <c r="F4" s="8">
        <v>0.48180175193253943</v>
      </c>
      <c r="G4" s="8">
        <v>0.46377531179839482</v>
      </c>
      <c r="H4" s="8">
        <v>0.52641899073047682</v>
      </c>
      <c r="I4" s="9">
        <v>0.45365010918253362</v>
      </c>
      <c r="J4" s="25">
        <f>Κανονικοποίηση!B3*AHP!$L$17 + Κανονικοποίηση!C3*AHP!$L$18 + Κανονικοποίηση!D3*AHP!$L$19 + Κανονικοποίηση!E3*AHP!$L$20 + Κανονικοποίηση!F3*AHP!$L$21 + Κανονικοποίηση!G3*AHP!$L$22 + Κανονικοποίηση!H3*AHP!$L$23 + Κανονικοποίηση!I3*AHP!$L$24 + Κανονικοποίηση!J3*AHP!$L$25 + Κανονικοποίηση!K3*AHP!$L$26</f>
        <v>0.45132050884301583</v>
      </c>
      <c r="K4" s="41">
        <f>AHP!B248</f>
        <v>6.2319016475473228E-2</v>
      </c>
      <c r="L4" s="25">
        <f>PROMETHEE!E62</f>
        <v>6</v>
      </c>
      <c r="M4" s="25">
        <f>PROMETHEE!E72</f>
        <v>5</v>
      </c>
      <c r="N4" s="41">
        <f>PROMETHEE!K62</f>
        <v>5</v>
      </c>
      <c r="O4" s="25">
        <f>PROMETHEE!E82</f>
        <v>5</v>
      </c>
      <c r="P4" s="43">
        <f>PROMETHEE!K72</f>
        <v>6</v>
      </c>
      <c r="Q4" s="41">
        <f>ELECTRE!E63</f>
        <v>4</v>
      </c>
      <c r="R4" s="25">
        <f>ELECTRE!E73</f>
        <v>5</v>
      </c>
      <c r="S4" s="25">
        <f>ELECTRE!E83</f>
        <v>4</v>
      </c>
      <c r="T4" s="25">
        <f>ELECTRE!K63</f>
        <v>5</v>
      </c>
      <c r="U4" s="25">
        <f>ELECTRE!K73</f>
        <v>5</v>
      </c>
    </row>
    <row r="5" spans="1:21">
      <c r="A5" s="48" t="s">
        <v>13</v>
      </c>
      <c r="B5" s="8">
        <f>'Σταθμισμένο Άθροισμα'!B4</f>
        <v>0.64414335115864529</v>
      </c>
      <c r="C5" s="8">
        <f>'Σταθμισμένο Άθροισμα'!C4</f>
        <v>0.62228326041160253</v>
      </c>
      <c r="D5" s="8">
        <f>'Σταθμισμένο Άθροισμα'!D4</f>
        <v>0.64919213734932946</v>
      </c>
      <c r="E5" s="9">
        <f>'Σταθμισμένο Άθροισμα'!E4</f>
        <v>0.60682871495705726</v>
      </c>
      <c r="F5" s="8">
        <v>0.64121118931932886</v>
      </c>
      <c r="G5" s="8">
        <v>0.61537352316337224</v>
      </c>
      <c r="H5" s="8">
        <v>0.65259229834651944</v>
      </c>
      <c r="I5" s="9">
        <v>0.56834860106174712</v>
      </c>
      <c r="J5" s="25">
        <f>Κανονικοποίηση!B4*AHP!$L$17 + Κανονικοποίηση!C4*AHP!$L$18 + Κανονικοποίηση!D4*AHP!$L$19 + Κανονικοποίηση!E4*AHP!$L$20 + Κανονικοποίηση!F4*AHP!$L$21 + Κανονικοποίηση!G4*AHP!$L$22 + Κανονικοποίηση!H4*AHP!$L$23 + Κανονικοποίηση!I4*AHP!$L$24 + Κανονικοποίηση!J4*AHP!$L$25 + Κανονικοποίηση!K4*AHP!$L$26</f>
        <v>0.60103111901254391</v>
      </c>
      <c r="K5" s="41">
        <f>AHP!B249</f>
        <v>6.4346120472860091E-2</v>
      </c>
      <c r="L5" s="25">
        <f>PROMETHEE!E63</f>
        <v>1</v>
      </c>
      <c r="M5" s="25">
        <f>PROMETHEE!E73</f>
        <v>2</v>
      </c>
      <c r="N5" s="41">
        <f>PROMETHEE!K63</f>
        <v>3</v>
      </c>
      <c r="O5" s="25">
        <f>PROMETHEE!E83</f>
        <v>1</v>
      </c>
      <c r="P5" s="43">
        <f>PROMETHEE!K73</f>
        <v>2</v>
      </c>
      <c r="Q5" s="41">
        <f>ELECTRE!E64</f>
        <v>5</v>
      </c>
      <c r="R5" s="25">
        <f>ELECTRE!E74</f>
        <v>4</v>
      </c>
      <c r="S5" s="25">
        <f>ELECTRE!E84</f>
        <v>5</v>
      </c>
      <c r="T5" s="25">
        <f>ELECTRE!K64</f>
        <v>4</v>
      </c>
      <c r="U5" s="25">
        <f>ELECTRE!K74</f>
        <v>4</v>
      </c>
    </row>
    <row r="6" spans="1:21">
      <c r="A6" s="48" t="s">
        <v>14</v>
      </c>
      <c r="B6" s="8">
        <f>'Σταθμισμένο Άθροισμα'!B5</f>
        <v>0.57999499999999993</v>
      </c>
      <c r="C6" s="8">
        <f>'Σταθμισμένο Άθροισμα'!C5</f>
        <v>0.64727272727272733</v>
      </c>
      <c r="D6" s="8">
        <f>'Σταθμισμένο Άθροισμα'!D5</f>
        <v>0.53197398726459832</v>
      </c>
      <c r="E6" s="9">
        <f>'Σταθμισμένο Άθροισμα'!E5</f>
        <v>0.67818181818181811</v>
      </c>
      <c r="F6" s="8">
        <v>0.4731575665921145</v>
      </c>
      <c r="G6" s="8">
        <v>0.5278291130104974</v>
      </c>
      <c r="H6" s="8">
        <v>0.43101673950350716</v>
      </c>
      <c r="I6" s="9">
        <v>0.58990113130402166</v>
      </c>
      <c r="J6" s="25">
        <f>Κανονικοποίηση!B5*AHP!$L$17 + Κανονικοποίηση!C5*AHP!$L$18 + Κανονικοποίηση!D5*AHP!$L$19 + Κανονικοποίηση!E5*AHP!$L$20 + Κανονικοποίηση!F5*AHP!$L$21 + Κανονικοποίηση!G5*AHP!$L$22 + Κανονικοποίηση!H5*AHP!$L$23 + Κανονικοποίηση!I5*AHP!$L$24 + Κανονικοποίηση!J5*AHP!$L$25 + Κανονικοποίηση!K5*AHP!$L$26</f>
        <v>0.64319125274830358</v>
      </c>
      <c r="K6" s="41">
        <f>AHP!B250</f>
        <v>0.28521233364603393</v>
      </c>
      <c r="L6" s="25">
        <f>PROMETHEE!E64</f>
        <v>2</v>
      </c>
      <c r="M6" s="25">
        <f>PROMETHEE!E74</f>
        <v>1</v>
      </c>
      <c r="N6" s="41">
        <f>PROMETHEE!K64</f>
        <v>1</v>
      </c>
      <c r="O6" s="25">
        <f>PROMETHEE!E84</f>
        <v>2</v>
      </c>
      <c r="P6" s="43">
        <f>PROMETHEE!K74</f>
        <v>1</v>
      </c>
      <c r="Q6" s="41">
        <f>ELECTRE!E65</f>
        <v>1</v>
      </c>
      <c r="R6" s="25">
        <f>ELECTRE!E75</f>
        <v>1</v>
      </c>
      <c r="S6" s="25">
        <f>ELECTRE!E85</f>
        <v>1</v>
      </c>
      <c r="T6" s="25">
        <f>ELECTRE!K65</f>
        <v>1</v>
      </c>
      <c r="U6" s="25">
        <f>ELECTRE!K75</f>
        <v>1</v>
      </c>
    </row>
    <row r="7" spans="1:21">
      <c r="A7" s="48" t="s">
        <v>15</v>
      </c>
      <c r="B7" s="8">
        <f>'Σταθμισμένο Άθροισμα'!B6</f>
        <v>0.44185454545454544</v>
      </c>
      <c r="C7" s="8">
        <f>'Σταθμισμένο Άθροισμα'!C6</f>
        <v>0.36859504132231408</v>
      </c>
      <c r="D7" s="8">
        <f>'Σταθμισμένο Άθροισμα'!D6</f>
        <v>0.47875996107943009</v>
      </c>
      <c r="E7" s="9">
        <f>'Σταθμισμένο Άθροισμα'!E6</f>
        <v>0.35041322314049589</v>
      </c>
      <c r="F7" s="8">
        <v>0.5343006801900213</v>
      </c>
      <c r="G7" s="8">
        <v>0.48839442442223474</v>
      </c>
      <c r="H7" s="8">
        <v>0.57509938248064862</v>
      </c>
      <c r="I7" s="9">
        <v>0.45054699600427378</v>
      </c>
      <c r="J7" s="25">
        <f>Κανονικοποίηση!B6*AHP!$L$17 + Κανονικοποίηση!C6*AHP!$L$18 + Κανονικοποίηση!D6*AHP!$L$19 + Κανονικοποίηση!E6*AHP!$L$20 + Κανονικοποίηση!F6*AHP!$L$21 + Κανονικοποίηση!G6*AHP!$L$22 + Κανονικοποίηση!H6*AHP!$L$23 + Κανονικοποίηση!I6*AHP!$L$24 + Κανονικοποίηση!J6*AHP!$L$25 + Κανονικοποίηση!K6*AHP!$L$26</f>
        <v>0.36883840646011801</v>
      </c>
      <c r="K7" s="41">
        <f>AHP!B251</f>
        <v>0.31710708839996699</v>
      </c>
      <c r="L7" s="25">
        <f>PROMETHEE!E65</f>
        <v>7</v>
      </c>
      <c r="M7" s="25">
        <f>PROMETHEE!E75</f>
        <v>7</v>
      </c>
      <c r="N7" s="41">
        <f>PROMETHEE!K65</f>
        <v>7</v>
      </c>
      <c r="O7" s="25">
        <f>PROMETHEE!E85</f>
        <v>7</v>
      </c>
      <c r="P7" s="43">
        <f>PROMETHEE!K75</f>
        <v>7</v>
      </c>
      <c r="Q7" s="41">
        <f>ELECTRE!E66</f>
        <v>7</v>
      </c>
      <c r="R7" s="25">
        <f>ELECTRE!E76</f>
        <v>7</v>
      </c>
      <c r="S7" s="25">
        <f>ELECTRE!E86</f>
        <v>7</v>
      </c>
      <c r="T7" s="25">
        <f>ELECTRE!K66</f>
        <v>7</v>
      </c>
      <c r="U7" s="25">
        <f>ELECTRE!K76</f>
        <v>7</v>
      </c>
    </row>
    <row r="8" spans="1:21">
      <c r="A8" s="48" t="s">
        <v>16</v>
      </c>
      <c r="B8" s="8">
        <f>'Σταθμισμένο Άθροισμα'!B7</f>
        <v>0.56080585561497331</v>
      </c>
      <c r="C8" s="8">
        <f>'Σταθμισμένο Άθροισμα'!C7</f>
        <v>0.61080862096904875</v>
      </c>
      <c r="D8" s="8">
        <f>'Σταθμισμένο Άθροισμα'!D7</f>
        <v>0.53271697022344555</v>
      </c>
      <c r="E8" s="9">
        <f>'Σταθμισμένο Άθροισμα'!E7</f>
        <v>0.62444498460541231</v>
      </c>
      <c r="F8" s="8">
        <v>0.46101088854267458</v>
      </c>
      <c r="G8" s="8">
        <v>0.4866550235192188</v>
      </c>
      <c r="H8" s="8">
        <v>0.4274485630046248</v>
      </c>
      <c r="I8" s="9">
        <v>0.56319271140410754</v>
      </c>
      <c r="J8" s="25">
        <f>Κανονικοποίηση!B7*AHP!$L$17 + Κανονικοποίηση!C7*AHP!$L$18 + Κανονικοποίηση!D7*AHP!$L$19 + Κανονικοποίηση!E7*AHP!$L$20 + Κανονικοποίηση!F7*AHP!$L$21 + Κανονικοποίηση!G7*AHP!$L$22 + Κανονικοποίηση!H7*AHP!$L$23 + Κανονικοποίηση!I7*AHP!$L$24 + Κανονικοποίηση!J7*AHP!$L$25 + Κανονικοποίηση!K7*AHP!$L$26</f>
        <v>0.60779830337648166</v>
      </c>
      <c r="K8" s="41">
        <f>AHP!B252</f>
        <v>0.11421031638349231</v>
      </c>
      <c r="L8" s="25">
        <f>PROMETHEE!E66</f>
        <v>3</v>
      </c>
      <c r="M8" s="25">
        <f>PROMETHEE!E76</f>
        <v>3</v>
      </c>
      <c r="N8" s="41">
        <f>PROMETHEE!K66</f>
        <v>2</v>
      </c>
      <c r="O8" s="25">
        <f>PROMETHEE!E86</f>
        <v>4</v>
      </c>
      <c r="P8" s="43">
        <f>PROMETHEE!K76</f>
        <v>3</v>
      </c>
      <c r="Q8" s="41">
        <f>ELECTRE!E67</f>
        <v>2</v>
      </c>
      <c r="R8" s="25">
        <f>ELECTRE!E77</f>
        <v>2</v>
      </c>
      <c r="S8" s="25">
        <f>ELECTRE!E87</f>
        <v>2</v>
      </c>
      <c r="T8" s="25">
        <f>ELECTRE!K67</f>
        <v>2</v>
      </c>
      <c r="U8" s="25">
        <f>ELECTRE!K77</f>
        <v>2</v>
      </c>
    </row>
    <row r="9" spans="1:21">
      <c r="A9" s="48" t="s">
        <v>17</v>
      </c>
      <c r="B9" s="8">
        <f>'Σταθμισμένο Άθροισμα'!B8</f>
        <v>0.50600950980392156</v>
      </c>
      <c r="C9" s="8">
        <f>'Σταθμισμένο Άθροισμα'!C8</f>
        <v>0.45054367201426021</v>
      </c>
      <c r="D9" s="8">
        <f>'Σταθμισμένο Άθροισμα'!D8</f>
        <v>0.5235202467384461</v>
      </c>
      <c r="E9" s="9">
        <f>'Σταθμισμένο Άθροισμα'!E8</f>
        <v>0.41781639928698744</v>
      </c>
      <c r="F9" s="8">
        <v>0.57226495245579712</v>
      </c>
      <c r="G9" s="8">
        <v>0.52906326233987999</v>
      </c>
      <c r="H9" s="8">
        <v>0.60268934558748388</v>
      </c>
      <c r="I9" s="9">
        <v>0.467316496900467</v>
      </c>
      <c r="J9" s="25">
        <f>Κανονικοποίηση!B8*AHP!$L$17 + Κανονικοποίηση!C8*AHP!$L$18 + Κανονικοποίηση!D8*AHP!$L$19 + Κανονικοποίηση!E8*AHP!$L$20 + Κανονικοποίηση!F8*AHP!$L$21 + Κανονικοποίηση!G8*AHP!$L$22 + Κανονικοποίηση!H8*AHP!$L$23 + Κανονικοποίηση!I8*AHP!$L$24 + Κανονικοποίηση!J8*AHP!$L$25 + Κανονικοποίηση!K8*AHP!$L$26</f>
        <v>0.42859217005515382</v>
      </c>
      <c r="K9" s="41">
        <f>AHP!B253</f>
        <v>7.7163681525346112E-2</v>
      </c>
      <c r="L9" s="25">
        <f>PROMETHEE!E67</f>
        <v>5</v>
      </c>
      <c r="M9" s="25">
        <f>PROMETHEE!E77</f>
        <v>6</v>
      </c>
      <c r="N9" s="41">
        <f>PROMETHEE!K67</f>
        <v>6</v>
      </c>
      <c r="O9" s="25">
        <f>PROMETHEE!E87</f>
        <v>6</v>
      </c>
      <c r="P9" s="43">
        <f>PROMETHEE!K77</f>
        <v>5</v>
      </c>
      <c r="Q9" s="41">
        <f>ELECTRE!E68</f>
        <v>6</v>
      </c>
      <c r="R9" s="25">
        <f>ELECTRE!E78</f>
        <v>6</v>
      </c>
      <c r="S9" s="25">
        <f>ELECTRE!E88</f>
        <v>6</v>
      </c>
      <c r="T9" s="25">
        <f>ELECTRE!K68</f>
        <v>6</v>
      </c>
      <c r="U9" s="25">
        <f>ELECTRE!K78</f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712A-9B9A-4C1D-8575-55DEC1B5C70F}">
  <dimension ref="A1:N57"/>
  <sheetViews>
    <sheetView tabSelected="1" workbookViewId="0">
      <selection activeCell="L5" sqref="L5"/>
    </sheetView>
  </sheetViews>
  <sheetFormatPr defaultRowHeight="15"/>
  <cols>
    <col min="1" max="1" width="30.28515625" bestFit="1" customWidth="1"/>
    <col min="2" max="2" width="10.85546875" customWidth="1"/>
    <col min="3" max="3" width="11.140625" customWidth="1"/>
    <col min="4" max="4" width="11.85546875" customWidth="1"/>
    <col min="5" max="5" width="12.42578125" customWidth="1"/>
    <col min="6" max="6" width="14.140625" customWidth="1"/>
    <col min="7" max="7" width="16.7109375" bestFit="1" customWidth="1"/>
    <col min="8" max="8" width="16.140625" customWidth="1"/>
    <col min="9" max="9" width="14.42578125" customWidth="1"/>
    <col min="10" max="10" width="12.85546875" customWidth="1"/>
    <col min="11" max="11" width="9.28515625" bestFit="1" customWidth="1"/>
    <col min="12" max="12" width="28.42578125" bestFit="1" customWidth="1"/>
    <col min="13" max="13" width="36.7109375" bestFit="1" customWidth="1"/>
    <col min="14" max="14" width="21.7109375" bestFit="1" customWidth="1"/>
  </cols>
  <sheetData>
    <row r="1" spans="1:14">
      <c r="A1" s="67" t="s">
        <v>63</v>
      </c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4">
      <c r="A2" s="46" t="s">
        <v>0</v>
      </c>
      <c r="B2" s="46" t="s">
        <v>1</v>
      </c>
      <c r="C2" s="46" t="s">
        <v>2</v>
      </c>
      <c r="D2" s="46" t="s">
        <v>3</v>
      </c>
      <c r="E2" s="46" t="s">
        <v>4</v>
      </c>
      <c r="F2" s="46" t="s">
        <v>5</v>
      </c>
      <c r="G2" s="46" t="s">
        <v>6</v>
      </c>
      <c r="H2" s="46" t="s">
        <v>7</v>
      </c>
      <c r="I2" s="46" t="s">
        <v>8</v>
      </c>
      <c r="J2" s="46" t="s">
        <v>9</v>
      </c>
      <c r="K2" s="46" t="s">
        <v>10</v>
      </c>
    </row>
    <row r="3" spans="1:14">
      <c r="A3" s="47" t="s">
        <v>11</v>
      </c>
      <c r="B3" s="3">
        <f>Δεδομένα!B2 / SQRT(SUMSQ(Δεδομένα!B$2:B$8))</f>
        <v>0.40356715613563082</v>
      </c>
      <c r="C3" s="3">
        <f>Δεδομένα!C2 / SQRT(SUMSQ(Δεδομένα!C$2:C$8))</f>
        <v>0.42832868064565399</v>
      </c>
      <c r="D3" s="3">
        <f>Δεδομένα!D2 / SQRT(SUMSQ(Δεδομένα!D$2:D$8))</f>
        <v>0.41602514716892186</v>
      </c>
      <c r="E3" s="3">
        <f>Δεδομένα!E2 / SQRT(SUMSQ(Δεδομένα!E$2:E$8))</f>
        <v>0.41702882811414954</v>
      </c>
      <c r="F3" s="3">
        <f>Δεδομένα!F2 / SQRT(SUMSQ(Δεδομένα!F$2:F$8))</f>
        <v>0</v>
      </c>
      <c r="G3" s="3">
        <f>Δεδομένα!G2 / SQRT(SUMSQ(Δεδομένα!G$2:G$8))</f>
        <v>0.10143010324169742</v>
      </c>
      <c r="H3" s="3">
        <f>Δεδομένα!H2 / SQRT(SUMSQ(Δεδομένα!H$2:H$8))</f>
        <v>0.42409446483998542</v>
      </c>
      <c r="I3" s="3">
        <f>Δεδομένα!I2 / SQRT(SUMSQ(Δεδομένα!I$2:I$8))</f>
        <v>0.33806170189140661</v>
      </c>
      <c r="J3" s="3">
        <f>Δεδομένα!J2 / SQRT(SUMSQ(Δεδομένα!J$2:J$8))</f>
        <v>0.63245553203367588</v>
      </c>
      <c r="K3" s="3">
        <f>Δεδομένα!K2 / SQRT(SUMSQ(Δεδομένα!K$2:K$8))</f>
        <v>0.37714063667097236</v>
      </c>
    </row>
    <row r="4" spans="1:14">
      <c r="A4" s="47" t="s">
        <v>12</v>
      </c>
      <c r="B4" s="3">
        <f>Δεδομένα!B3 / SQRT(SUMSQ(Δεδομένα!B$2:B$8))</f>
        <v>0.32285372490850467</v>
      </c>
      <c r="C4" s="3">
        <f>Δεδομένα!C3 / SQRT(SUMSQ(Δεδομένα!C$2:C$8))</f>
        <v>0.26175641595012189</v>
      </c>
      <c r="D4" s="3">
        <f>Δεδομένα!D3 / SQRT(SUMSQ(Δεδομένα!D$2:D$8))</f>
        <v>0.27735009811261457</v>
      </c>
      <c r="E4" s="3">
        <f>Δεδομένα!E3 / SQRT(SUMSQ(Δεδομένα!E$2:E$8))</f>
        <v>0.20851441405707477</v>
      </c>
      <c r="F4" s="3">
        <f>Δεδομένα!F3 / SQRT(SUMSQ(Δεδομένα!F$2:F$8))</f>
        <v>0</v>
      </c>
      <c r="G4" s="3">
        <f>Δεδομένα!G3 / SQRT(SUMSQ(Δεδομένα!G$2:G$8))</f>
        <v>0.40572041296678968</v>
      </c>
      <c r="H4" s="3">
        <f>Δεδομένα!H3 / SQRT(SUMSQ(Δεδομένα!H$2:H$8))</f>
        <v>0</v>
      </c>
      <c r="I4" s="3">
        <f>Δεδομένα!I3 / SQRT(SUMSQ(Δεδομένα!I$2:I$8))</f>
        <v>0.33806170189140661</v>
      </c>
      <c r="J4" s="3">
        <f>Δεδομένα!J3 / SQRT(SUMSQ(Δεδομένα!J$2:J$8))</f>
        <v>0.47434164902525688</v>
      </c>
      <c r="K4" s="3">
        <f>Δεδομένα!K3 / SQRT(SUMSQ(Δεδομένα!K$2:K$8))</f>
        <v>0.38092149518396456</v>
      </c>
    </row>
    <row r="5" spans="1:14">
      <c r="A5" s="47" t="s">
        <v>13</v>
      </c>
      <c r="B5" s="3">
        <f>Δεδομένα!B4 / SQRT(SUMSQ(Δεδομένα!B$2:B$8))</f>
        <v>0.28249700929494159</v>
      </c>
      <c r="C5" s="3">
        <f>Δεδομένα!C4 / SQRT(SUMSQ(Δεδομένα!C$2:C$8))</f>
        <v>0.33314452939106426</v>
      </c>
      <c r="D5" s="3">
        <f>Δεδομένα!D4 / SQRT(SUMSQ(Δεδομένα!D$2:D$8))</f>
        <v>0.41602514716892186</v>
      </c>
      <c r="E5" s="3">
        <f>Δεδομένα!E4 / SQRT(SUMSQ(Δεδομένα!E$2:E$8))</f>
        <v>0</v>
      </c>
      <c r="F5" s="3">
        <f>Δεδομένα!F4 / SQRT(SUMSQ(Δεδομένα!F$2:F$8))</f>
        <v>0.57735026918962584</v>
      </c>
      <c r="G5" s="3">
        <f>Δεδομένα!G4 / SQRT(SUMSQ(Δεδομένα!G$2:G$8))</f>
        <v>4.0572041296678969E-2</v>
      </c>
      <c r="H5" s="3">
        <f>Δεδομένα!H4 / SQRT(SUMSQ(Δεδομένα!H$2:H$8))</f>
        <v>0.16963778593599418</v>
      </c>
      <c r="I5" s="3">
        <f>Δεδομένα!I4 / SQRT(SUMSQ(Δεδομένα!I$2:I$8))</f>
        <v>0.1690308509457033</v>
      </c>
      <c r="J5" s="3">
        <f>Δεδομένα!J4 / SQRT(SUMSQ(Δεδομένα!J$2:J$8))</f>
        <v>0.31622776601683794</v>
      </c>
      <c r="K5" s="3">
        <f>Δεδομένα!K4 / SQRT(SUMSQ(Δεδομένα!K$2:K$8))</f>
        <v>0.37903106592746849</v>
      </c>
    </row>
    <row r="6" spans="1:14">
      <c r="A6" s="47" t="s">
        <v>14</v>
      </c>
      <c r="B6" s="3">
        <f>Δεδομένα!B5 / SQRT(SUMSQ(Δεδομένα!B$2:B$8))</f>
        <v>0.56499401858988318</v>
      </c>
      <c r="C6" s="3">
        <f>Δεδομένα!C5 / SQRT(SUMSQ(Δεδομένα!C$2:C$8))</f>
        <v>0.57110490752753873</v>
      </c>
      <c r="D6" s="3">
        <f>Δεδομένα!D5 / SQRT(SUMSQ(Δεδομένα!D$2:D$8))</f>
        <v>0.55470019622522915</v>
      </c>
      <c r="E6" s="3">
        <f>Δεδομένα!E5 / SQRT(SUMSQ(Δεδομένα!E$2:E$8))</f>
        <v>0.62554324217122437</v>
      </c>
      <c r="F6" s="3">
        <f>Δεδομένα!F5 / SQRT(SUMSQ(Δεδομένα!F$2:F$8))</f>
        <v>0.57735026918962584</v>
      </c>
      <c r="G6" s="3">
        <f>Δεδομένα!G5 / SQRT(SUMSQ(Δεδομένα!G$2:G$8))</f>
        <v>0.81144082593357936</v>
      </c>
      <c r="H6" s="3">
        <f>Δεδομένα!H5 / SQRT(SUMSQ(Δεδομένα!H$2:H$8))</f>
        <v>0.25445667890399126</v>
      </c>
      <c r="I6" s="3">
        <f>Δεδομένα!I5 / SQRT(SUMSQ(Δεδομένα!I$2:I$8))</f>
        <v>0.67612340378281321</v>
      </c>
      <c r="J6" s="3">
        <f>Δεδομένα!J5 / SQRT(SUMSQ(Δεδομένα!J$2:J$8))</f>
        <v>0.15811388300841897</v>
      </c>
      <c r="K6" s="3">
        <f>Δεδομένα!K5 / SQRT(SUMSQ(Δεδομένα!K$2:K$8))</f>
        <v>0.38281192444046069</v>
      </c>
    </row>
    <row r="7" spans="1:14">
      <c r="A7" s="47" t="s">
        <v>15</v>
      </c>
      <c r="B7" s="3">
        <f>Δεδομένα!B6 / SQRT(SUMSQ(Δεδομένα!B$2:B$8))</f>
        <v>0.20178357806781541</v>
      </c>
      <c r="C7" s="3">
        <f>Δεδομένα!C6 / SQRT(SUMSQ(Δεδομένα!C$2:C$8))</f>
        <v>0.16657226469553213</v>
      </c>
      <c r="D7" s="3">
        <f>Δεδομένα!D6 / SQRT(SUMSQ(Δεδομένα!D$2:D$8))</f>
        <v>0.13867504905630729</v>
      </c>
      <c r="E7" s="3">
        <f>Δεδομένα!E6 / SQRT(SUMSQ(Δεδομένα!E$2:E$8))</f>
        <v>0</v>
      </c>
      <c r="F7" s="3">
        <f>Δεδομένα!F6 / SQRT(SUMSQ(Δεδομένα!F$2:F$8))</f>
        <v>0</v>
      </c>
      <c r="G7" s="3">
        <f>Δεδομένα!G6 / SQRT(SUMSQ(Δεδομένα!G$2:G$8))</f>
        <v>0</v>
      </c>
      <c r="H7" s="3">
        <f>Δεδομένα!H6 / SQRT(SUMSQ(Δεδομένα!H$2:H$8))</f>
        <v>0</v>
      </c>
      <c r="I7" s="3">
        <f>Δεδομένα!I6 / SQRT(SUMSQ(Δεδομένα!I$2:I$8))</f>
        <v>0</v>
      </c>
      <c r="J7" s="3">
        <f>Δεδομένα!J6 / SQRT(SUMSQ(Δεδομένα!J$2:J$8))</f>
        <v>0</v>
      </c>
      <c r="K7" s="3">
        <f>Δεδομένα!K6 / SQRT(SUMSQ(Δεδομένα!K$2:K$8))</f>
        <v>0.37525020741447629</v>
      </c>
    </row>
    <row r="8" spans="1:14">
      <c r="A8" s="47" t="s">
        <v>16</v>
      </c>
      <c r="B8" s="3">
        <f>Δεδομένα!B7 / SQRT(SUMSQ(Δεδομένα!B$2:B$8))</f>
        <v>0.48428058736275698</v>
      </c>
      <c r="C8" s="3">
        <f>Δεδομένα!C7 / SQRT(SUMSQ(Δεδομένα!C$2:C$8))</f>
        <v>0.47592075627294889</v>
      </c>
      <c r="D8" s="3">
        <f>Δεδομένα!D7 / SQRT(SUMSQ(Δεδομένα!D$2:D$8))</f>
        <v>0.41602514716892186</v>
      </c>
      <c r="E8" s="3">
        <f>Δεδομένα!E7 / SQRT(SUMSQ(Δεδομένα!E$2:E$8))</f>
        <v>0.62554324217122437</v>
      </c>
      <c r="F8" s="3">
        <f>Δεδομένα!F7 / SQRT(SUMSQ(Δεδομένα!F$2:F$8))</f>
        <v>0.57735026918962584</v>
      </c>
      <c r="G8" s="3">
        <f>Δεδομένα!G7 / SQRT(SUMSQ(Δεδομένα!G$2:G$8))</f>
        <v>0.40572041296678968</v>
      </c>
      <c r="H8" s="3">
        <f>Δεδομένα!H7 / SQRT(SUMSQ(Δεδομένα!H$2:H$8))</f>
        <v>0.84818892967997084</v>
      </c>
      <c r="I8" s="3">
        <f>Δεδομένα!I6 / SQRT(SUMSQ(Δεδομένα!I$2:I$8))</f>
        <v>0</v>
      </c>
      <c r="J8" s="3">
        <f>Δεδομένα!J7 / SQRT(SUMSQ(Δεδομένα!J$2:J$8))</f>
        <v>0.47434164902525688</v>
      </c>
      <c r="K8" s="3">
        <f>Δεδομένα!K7 / SQRT(SUMSQ(Δεδομένα!K$2:K$8))</f>
        <v>0.37808585129922045</v>
      </c>
    </row>
    <row r="9" spans="1:14">
      <c r="A9" s="47" t="s">
        <v>17</v>
      </c>
      <c r="B9" s="3">
        <f>Δεδομένα!B8 / SQRT(SUMSQ(Δεδομένα!B$2:B$8))</f>
        <v>0.24214029368137849</v>
      </c>
      <c r="C9" s="3">
        <f>Δεδομένα!C8 / SQRT(SUMSQ(Δεδομένα!C$2:C$8))</f>
        <v>0.23796037813647444</v>
      </c>
      <c r="D9" s="3">
        <f>Δεδομένα!D8 / SQRT(SUMSQ(Δεδομένα!D$2:D$8))</f>
        <v>0.27735009811261457</v>
      </c>
      <c r="E9" s="3">
        <f>Δεδομένα!E8 / SQRT(SUMSQ(Δεδομένα!E$2:E$8))</f>
        <v>0</v>
      </c>
      <c r="F9" s="3">
        <f>Δεδομένα!F8 / SQRT(SUMSQ(Δεδομένα!F$2:F$8))</f>
        <v>0</v>
      </c>
      <c r="G9" s="3">
        <f>Δεδομένα!G8 / SQRT(SUMSQ(Δεδομένα!G$2:G$8))</f>
        <v>2.0286020648339485E-2</v>
      </c>
      <c r="H9" s="3">
        <f>Δεδομένα!H8 / SQRT(SUMSQ(Δεδομένα!H$2:H$8))</f>
        <v>8.4818892967997092E-2</v>
      </c>
      <c r="I9" s="3">
        <f>Δεδομένα!I8 / SQRT(SUMSQ(Δεδομένα!I$2:I$8))</f>
        <v>0.1690308509457033</v>
      </c>
      <c r="J9" s="3">
        <f>Δεδομένα!J8 / SQRT(SUMSQ(Δεδομένα!J$2:J$8))</f>
        <v>0.15811388300841897</v>
      </c>
      <c r="K9" s="3">
        <f>Δεδομένα!K8 / SQRT(SUMSQ(Δεδομένα!K$2:K$8))</f>
        <v>0.37241456352973212</v>
      </c>
    </row>
    <row r="11" spans="1:14">
      <c r="A11" s="67" t="s">
        <v>64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</row>
    <row r="12" spans="1:14">
      <c r="A12" s="46" t="s">
        <v>0</v>
      </c>
      <c r="B12" s="46" t="s">
        <v>1</v>
      </c>
      <c r="C12" s="46" t="s">
        <v>2</v>
      </c>
      <c r="D12" s="46" t="s">
        <v>3</v>
      </c>
      <c r="E12" s="46" t="s">
        <v>4</v>
      </c>
      <c r="F12" s="46" t="s">
        <v>5</v>
      </c>
      <c r="G12" s="46" t="s">
        <v>6</v>
      </c>
      <c r="H12" s="46" t="s">
        <v>7</v>
      </c>
      <c r="I12" s="46" t="s">
        <v>8</v>
      </c>
      <c r="J12" s="46" t="s">
        <v>9</v>
      </c>
      <c r="K12" s="46" t="s">
        <v>10</v>
      </c>
      <c r="L12" s="46" t="s">
        <v>65</v>
      </c>
      <c r="M12" s="46" t="s">
        <v>66</v>
      </c>
      <c r="N12" s="46" t="s">
        <v>67</v>
      </c>
    </row>
    <row r="13" spans="1:14">
      <c r="A13" s="47" t="s">
        <v>11</v>
      </c>
      <c r="B13" s="3">
        <f>B3 * Βάρη!$E$2</f>
        <v>0.11820482003212626</v>
      </c>
      <c r="C13" s="3">
        <f>C3 * Βάρη!$E$3</f>
        <v>8.2624602496546656E-2</v>
      </c>
      <c r="D13" s="3">
        <f>D3 * Βάρη!$E$4</f>
        <v>5.9449993530438935E-2</v>
      </c>
      <c r="E13" s="3">
        <f>E3 * Βάρη!$E$5</f>
        <v>1.9975680866667761E-2</v>
      </c>
      <c r="F13" s="3">
        <f>F3 * Βάρη!$E$6</f>
        <v>0</v>
      </c>
      <c r="G13" s="3">
        <f>G3 * Βάρη!$E$7</f>
        <v>1.1116739315290038E-2</v>
      </c>
      <c r="H13" s="3">
        <f>H3 * Βάρη!$E$8</f>
        <v>1.424957401862351E-2</v>
      </c>
      <c r="I13" s="3">
        <f>I3 * Βάρη!$E$9</f>
        <v>2.8600019980012999E-2</v>
      </c>
      <c r="J13" s="3">
        <f>J3 * Βάρη!$E$10</f>
        <v>6.261309767133392E-3</v>
      </c>
      <c r="K13" s="6">
        <f>K3 * Βάρη!$E$11</f>
        <v>7.9576674337575176E-3</v>
      </c>
      <c r="L13" s="89">
        <f>SQRT(SUMXMY2(B13:K13, $B$20:$K$20))</f>
        <v>8.5321446138397108E-2</v>
      </c>
      <c r="M13" s="90">
        <f>SQRT(SUMXMY2(B13:K13, $B$21:$K$21))</f>
        <v>0.1177738156118792</v>
      </c>
      <c r="N13" s="89">
        <f>M13 / (L13 + M13)</f>
        <v>0.57989445246976068</v>
      </c>
    </row>
    <row r="14" spans="1:14">
      <c r="A14" s="47" t="s">
        <v>12</v>
      </c>
      <c r="B14" s="3">
        <f>B4 * Βάρη!$E$2</f>
        <v>9.4563856025701012E-2</v>
      </c>
      <c r="C14" s="3">
        <f>C4 * Βάρη!$E$3</f>
        <v>5.049281263677851E-2</v>
      </c>
      <c r="D14" s="3">
        <f>D4 * Βάρη!$E$4</f>
        <v>3.9633329020292624E-2</v>
      </c>
      <c r="E14" s="3">
        <f>E4 * Βάρη!$E$5</f>
        <v>9.9878404333338805E-3</v>
      </c>
      <c r="F14" s="3">
        <f>F4 * Βάρη!$E$6</f>
        <v>0</v>
      </c>
      <c r="G14" s="3">
        <f>G4 * Βάρη!$E$7</f>
        <v>4.446695726116015E-2</v>
      </c>
      <c r="H14" s="3">
        <f>H4 * Βάρη!$E$8</f>
        <v>0</v>
      </c>
      <c r="I14" s="3">
        <f>I4 * Βάρη!$E$9</f>
        <v>2.8600019980012999E-2</v>
      </c>
      <c r="J14" s="3">
        <f>J4 * Βάρη!$E$10</f>
        <v>4.6959823253500434E-3</v>
      </c>
      <c r="K14" s="6">
        <f>K4 * Βάρη!$E$11</f>
        <v>8.0374435483816526E-3</v>
      </c>
      <c r="L14" s="89">
        <f t="shared" ref="L14:L19" si="0">SQRT(SUMXMY2(B14:K14, $B$20:$K$20))</f>
        <v>0.10477129833094617</v>
      </c>
      <c r="M14" s="90">
        <f>SQRT(SUMXMY2(B14:K14, $B$21:$K$21))</f>
        <v>9.7412515917122716E-2</v>
      </c>
      <c r="N14" s="89">
        <f t="shared" ref="N14:N19" si="1">M14 / (L14 + M14)</f>
        <v>0.48180175193253943</v>
      </c>
    </row>
    <row r="15" spans="1:14">
      <c r="A15" s="47" t="s">
        <v>13</v>
      </c>
      <c r="B15" s="3">
        <f>B5 * Βάρη!$E$2</f>
        <v>8.2743374022488395E-2</v>
      </c>
      <c r="C15" s="3">
        <f>C5 * Βάρη!$E$3</f>
        <v>6.4263579719536293E-2</v>
      </c>
      <c r="D15" s="3">
        <f>D5 * Βάρη!$E$4</f>
        <v>5.9449993530438935E-2</v>
      </c>
      <c r="E15" s="3">
        <f>E5 * Βάρη!$E$5</f>
        <v>0</v>
      </c>
      <c r="F15" s="3">
        <f>F5 * Βάρη!$E$6</f>
        <v>3.7296827389649831E-2</v>
      </c>
      <c r="G15" s="3">
        <f>G5 * Βάρη!$E$7</f>
        <v>4.446695726116015E-3</v>
      </c>
      <c r="H15" s="3">
        <f>H5 * Βάρη!$E$8</f>
        <v>5.6998296074494042E-3</v>
      </c>
      <c r="I15" s="3">
        <f>I5 * Βάρη!$E$9</f>
        <v>1.4300009990006499E-2</v>
      </c>
      <c r="J15" s="3">
        <f>J5 * Βάρη!$E$10</f>
        <v>3.130654883566696E-3</v>
      </c>
      <c r="K15" s="6">
        <f>K5 * Βάρη!$E$11</f>
        <v>7.997555491069586E-3</v>
      </c>
      <c r="L15" s="89">
        <f t="shared" si="0"/>
        <v>7.6543672567429943E-2</v>
      </c>
      <c r="M15" s="90">
        <f t="shared" ref="M14:M19" si="2">SQRT(SUMXMY2(B15:K15, $B$21:$K$21))</f>
        <v>0.13679540125211365</v>
      </c>
      <c r="N15" s="89">
        <f t="shared" si="1"/>
        <v>0.64121118931932886</v>
      </c>
    </row>
    <row r="16" spans="1:14">
      <c r="A16" s="47" t="s">
        <v>14</v>
      </c>
      <c r="B16" s="3">
        <f>B6 * Βάρη!$E$2</f>
        <v>0.16548674804497679</v>
      </c>
      <c r="C16" s="3">
        <f>C6 * Βάρη!$E$3</f>
        <v>0.11016613666206221</v>
      </c>
      <c r="D16" s="3">
        <f>D6 * Βάρη!$E$4</f>
        <v>7.9266658040585247E-2</v>
      </c>
      <c r="E16" s="3">
        <f>E6 * Βάρη!$E$5</f>
        <v>2.9963521300001645E-2</v>
      </c>
      <c r="F16" s="3">
        <f>F6 * Βάρη!$E$6</f>
        <v>3.7296827389649831E-2</v>
      </c>
      <c r="G16" s="3">
        <f>G6 * Βάρη!$E$7</f>
        <v>8.8933914522320301E-2</v>
      </c>
      <c r="H16" s="3">
        <f>H6 * Βάρη!$E$8</f>
        <v>8.5497444111741067E-3</v>
      </c>
      <c r="I16" s="3">
        <f>I6 * Βάρη!$E$9</f>
        <v>5.7200039960025997E-2</v>
      </c>
      <c r="J16" s="3">
        <f>J6 * Βάρη!$E$10</f>
        <v>1.565327441783348E-3</v>
      </c>
      <c r="K16" s="6">
        <f>K6 * Βάρη!$E$11</f>
        <v>8.077331605693721E-3</v>
      </c>
      <c r="L16" s="89">
        <f t="shared" si="0"/>
        <v>0.13900366509416198</v>
      </c>
      <c r="M16" s="90">
        <f t="shared" si="2"/>
        <v>0.12483929112904006</v>
      </c>
      <c r="N16" s="89">
        <f t="shared" si="1"/>
        <v>0.4731575665921145</v>
      </c>
    </row>
    <row r="17" spans="1:14">
      <c r="A17" s="47" t="s">
        <v>15</v>
      </c>
      <c r="B17" s="3">
        <f>B7 * Βάρη!$E$2</f>
        <v>5.9102410016063131E-2</v>
      </c>
      <c r="C17" s="3">
        <f>C7 * Βάρη!$E$3</f>
        <v>3.2131789859768146E-2</v>
      </c>
      <c r="D17" s="3">
        <f>D7 * Βάρη!$E$4</f>
        <v>1.9816664510146312E-2</v>
      </c>
      <c r="E17" s="3">
        <f>E7 * Βάρη!$E$5</f>
        <v>0</v>
      </c>
      <c r="F17" s="3">
        <f>F7 * Βάρη!$E$6</f>
        <v>0</v>
      </c>
      <c r="G17" s="3">
        <f>G7 * Βάρη!$E$7</f>
        <v>0</v>
      </c>
      <c r="H17" s="3">
        <f>H7 * Βάρη!$E$8</f>
        <v>0</v>
      </c>
      <c r="I17" s="3">
        <f>I7 * Βάρη!$E$9</f>
        <v>0</v>
      </c>
      <c r="J17" s="3">
        <f>J7 * Βάρη!$E$10</f>
        <v>0</v>
      </c>
      <c r="K17" s="6">
        <f>K7 * Βάρη!$E$11</f>
        <v>7.9177793764454493E-3</v>
      </c>
      <c r="L17" s="89">
        <f t="shared" si="0"/>
        <v>0.12338395755527275</v>
      </c>
      <c r="M17" s="90">
        <f t="shared" si="2"/>
        <v>0.14155943468678084</v>
      </c>
      <c r="N17" s="89">
        <f t="shared" si="1"/>
        <v>0.5343006801900213</v>
      </c>
    </row>
    <row r="18" spans="1:14">
      <c r="A18" s="47" t="s">
        <v>16</v>
      </c>
      <c r="B18" s="4">
        <f>B8 * Βάρη!$E$2</f>
        <v>0.14184578403855153</v>
      </c>
      <c r="C18" s="3">
        <f>C8 * Βάρη!$E$3</f>
        <v>9.1805113885051831E-2</v>
      </c>
      <c r="D18" s="3">
        <f>D8 * Βάρη!$E$4</f>
        <v>5.9449993530438935E-2</v>
      </c>
      <c r="E18" s="3">
        <f>E8 * Βάρη!$E$5</f>
        <v>2.9963521300001645E-2</v>
      </c>
      <c r="F18" s="3">
        <f>F8 * Βάρη!$E$6</f>
        <v>3.7296827389649831E-2</v>
      </c>
      <c r="G18" s="3">
        <f>G8 * Βάρη!$E$7</f>
        <v>4.446695726116015E-2</v>
      </c>
      <c r="H18" s="3">
        <f>H8 * Βάρη!$E$8</f>
        <v>2.849914803724702E-2</v>
      </c>
      <c r="I18" s="3">
        <f>I8 * Βάρη!$E$9</f>
        <v>0</v>
      </c>
      <c r="J18" s="3">
        <f>J8 * Βάρη!$E$10</f>
        <v>4.6959823253500434E-3</v>
      </c>
      <c r="K18" s="6">
        <f>K8 * Βάρη!$E$11</f>
        <v>7.9776114624135527E-3</v>
      </c>
      <c r="L18" s="89">
        <f t="shared" si="0"/>
        <v>0.11679088058063995</v>
      </c>
      <c r="M18" s="90">
        <f t="shared" si="2"/>
        <v>9.9894165736639687E-2</v>
      </c>
      <c r="N18" s="89">
        <f t="shared" si="1"/>
        <v>0.46101088854267458</v>
      </c>
    </row>
    <row r="19" spans="1:14">
      <c r="A19" s="50" t="s">
        <v>17</v>
      </c>
      <c r="B19" s="5">
        <f>B9 * Βάρη!$E$2</f>
        <v>7.0922892019275763E-2</v>
      </c>
      <c r="C19" s="3">
        <f>C9 * Βάρη!$E$3</f>
        <v>4.5902556942525916E-2</v>
      </c>
      <c r="D19" s="3">
        <f>D9 * Βάρη!$E$4</f>
        <v>3.9633329020292624E-2</v>
      </c>
      <c r="E19" s="3">
        <f>E9 * Βάρη!$E$5</f>
        <v>0</v>
      </c>
      <c r="F19" s="3">
        <f>F9 * Βάρη!$E$6</f>
        <v>0</v>
      </c>
      <c r="G19" s="3">
        <f>G9 * Βάρη!$E$7</f>
        <v>2.2233478630580075E-3</v>
      </c>
      <c r="H19" s="3">
        <f>H9 * Βάρη!$E$8</f>
        <v>2.8499148037247021E-3</v>
      </c>
      <c r="I19" s="3">
        <f>I9 * Βάρη!$E$9</f>
        <v>1.4300009990006499E-2</v>
      </c>
      <c r="J19" s="3">
        <f>J9 * Βάρη!$E$10</f>
        <v>1.565327441783348E-3</v>
      </c>
      <c r="K19" s="6">
        <f>K9 * Βάρη!$E$11</f>
        <v>7.8579472904773476E-3</v>
      </c>
      <c r="L19" s="89">
        <f t="shared" si="0"/>
        <v>0.10002387927606193</v>
      </c>
      <c r="M19" s="90">
        <f t="shared" si="2"/>
        <v>0.13382153472575725</v>
      </c>
      <c r="N19" s="89">
        <f t="shared" si="1"/>
        <v>0.57226495245579712</v>
      </c>
    </row>
    <row r="20" spans="1:14">
      <c r="A20" s="51" t="s">
        <v>68</v>
      </c>
      <c r="B20" s="88">
        <f>MIN(B13:B19)</f>
        <v>5.9102410016063131E-2</v>
      </c>
      <c r="C20" s="91">
        <f>MAX(C13:C19)</f>
        <v>0.11016613666206221</v>
      </c>
      <c r="D20" s="91">
        <f>MAX(D13:D19)</f>
        <v>7.9266658040585247E-2</v>
      </c>
      <c r="E20" s="91">
        <f>MAX(E13:E19)</f>
        <v>2.9963521300001645E-2</v>
      </c>
      <c r="F20" s="91">
        <f>MAX(F13:F19)</f>
        <v>3.7296827389649831E-2</v>
      </c>
      <c r="G20" s="91">
        <f>MIN(G13:G19)</f>
        <v>0</v>
      </c>
      <c r="H20" s="92">
        <f>MIN(H13:H19)</f>
        <v>0</v>
      </c>
      <c r="I20" s="91">
        <f>MAX(I13:I19)</f>
        <v>5.7200039960025997E-2</v>
      </c>
      <c r="J20" s="91">
        <f>MAX(J13:J19)</f>
        <v>6.261309767133392E-3</v>
      </c>
      <c r="K20" s="91">
        <f>MAX(K13:K19)</f>
        <v>8.077331605693721E-3</v>
      </c>
      <c r="L20" s="89"/>
      <c r="M20" s="93"/>
      <c r="N20" s="88"/>
    </row>
    <row r="21" spans="1:14">
      <c r="A21" s="51" t="s">
        <v>69</v>
      </c>
      <c r="B21" s="91">
        <f>MAX(B13:B19)</f>
        <v>0.16548674804497679</v>
      </c>
      <c r="C21" s="91">
        <f>MIN(C13:C19)</f>
        <v>3.2131789859768146E-2</v>
      </c>
      <c r="D21" s="91">
        <f>MIN(D13:D19)</f>
        <v>1.9816664510146312E-2</v>
      </c>
      <c r="E21" s="91">
        <f>MIN(E13:E19)</f>
        <v>0</v>
      </c>
      <c r="F21" s="91">
        <f>MIN(F13:F19)</f>
        <v>0</v>
      </c>
      <c r="G21" s="91">
        <f>MAX(G13:G19)</f>
        <v>8.8933914522320301E-2</v>
      </c>
      <c r="H21" s="92">
        <f>MAX(H13:H19)</f>
        <v>2.849914803724702E-2</v>
      </c>
      <c r="I21" s="91">
        <f>MIN(I13:I19)</f>
        <v>0</v>
      </c>
      <c r="J21" s="91">
        <f>MIN(J13:J19)</f>
        <v>0</v>
      </c>
      <c r="K21" s="91">
        <f>MIN(K13:K19)</f>
        <v>7.8579472904773476E-3</v>
      </c>
      <c r="L21" s="89"/>
      <c r="M21" s="93"/>
      <c r="N21" s="88"/>
    </row>
    <row r="23" spans="1:14">
      <c r="A23" s="67" t="s">
        <v>70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spans="1:14">
      <c r="A24" s="46" t="s">
        <v>0</v>
      </c>
      <c r="B24" s="46" t="s">
        <v>1</v>
      </c>
      <c r="C24" s="46" t="s">
        <v>2</v>
      </c>
      <c r="D24" s="46" t="s">
        <v>3</v>
      </c>
      <c r="E24" s="46" t="s">
        <v>4</v>
      </c>
      <c r="F24" s="46" t="s">
        <v>5</v>
      </c>
      <c r="G24" s="46" t="s">
        <v>6</v>
      </c>
      <c r="H24" s="46" t="s">
        <v>7</v>
      </c>
      <c r="I24" s="46" t="s">
        <v>8</v>
      </c>
      <c r="J24" s="46" t="s">
        <v>9</v>
      </c>
      <c r="K24" s="46" t="s">
        <v>10</v>
      </c>
      <c r="L24" s="46" t="s">
        <v>65</v>
      </c>
      <c r="M24" s="46" t="s">
        <v>66</v>
      </c>
      <c r="N24" s="46" t="s">
        <v>67</v>
      </c>
    </row>
    <row r="25" spans="1:14">
      <c r="A25" s="47" t="s">
        <v>11</v>
      </c>
      <c r="B25" s="3">
        <f>B3 * Βάρη!$C$2</f>
        <v>7.33758465701147E-2</v>
      </c>
      <c r="C25" s="3">
        <f>C3 * Βάρη!$C$3</f>
        <v>7.0090147742016107E-2</v>
      </c>
      <c r="D25" s="3">
        <f>D3 * Βάρη!$C$4</f>
        <v>6.0512748679115907E-2</v>
      </c>
      <c r="E25" s="3">
        <f>E3 * Βάρη!$C$5</f>
        <v>3.0329369317392694E-2</v>
      </c>
      <c r="F25" s="3">
        <f>F3 * Βάρη!$C$6</f>
        <v>0</v>
      </c>
      <c r="G25" s="3">
        <f>G3 * Βάρη!$C$7</f>
        <v>1.2909285867125125E-2</v>
      </c>
      <c r="H25" s="3">
        <f>H3 * Βάρη!$C$8</f>
        <v>2.3132425354908295E-2</v>
      </c>
      <c r="I25" s="3">
        <f>I3 * Βάρη!$C$9</f>
        <v>3.6879458388153444E-2</v>
      </c>
      <c r="J25" s="3">
        <f>J3 * Βάρη!$C$10</f>
        <v>2.299838298304276E-2</v>
      </c>
      <c r="K25" s="3">
        <f>K3 * Βάρη!$C$11</f>
        <v>6.8571024849267701E-3</v>
      </c>
      <c r="L25" s="89">
        <f>SQRT(SUMXMY2(B25:K25, $B$32:$K$32))</f>
        <v>8.570513209485163E-2</v>
      </c>
      <c r="M25" s="90">
        <f>SQRT(SUMXMY2(B25:K25, $B$33:$K$33))</f>
        <v>0.12583084291530258</v>
      </c>
      <c r="N25" s="89">
        <f>M25 / (L25 + M25)</f>
        <v>0.59484370405205267</v>
      </c>
    </row>
    <row r="26" spans="1:14">
      <c r="A26" s="47" t="s">
        <v>12</v>
      </c>
      <c r="B26" s="3">
        <f>B4 * Βάρη!$C$2</f>
        <v>5.8700677256091759E-2</v>
      </c>
      <c r="C26" s="3">
        <f>C4 * Βάρη!$C$3</f>
        <v>4.2832868064565398E-2</v>
      </c>
      <c r="D26" s="3">
        <f>D4 * Βάρη!$C$4</f>
        <v>4.0341832452743934E-2</v>
      </c>
      <c r="E26" s="3">
        <f>E4 * Βάρη!$C$5</f>
        <v>1.5164684658696347E-2</v>
      </c>
      <c r="F26" s="3">
        <f>F4 * Βάρη!$C$6</f>
        <v>0</v>
      </c>
      <c r="G26" s="3">
        <f>G4 * Βάρη!$C$7</f>
        <v>5.1637143468500499E-2</v>
      </c>
      <c r="H26" s="3">
        <f>H4 * Βάρη!$C$8</f>
        <v>0</v>
      </c>
      <c r="I26" s="3">
        <f>I4 * Βάρη!$C$9</f>
        <v>3.6879458388153444E-2</v>
      </c>
      <c r="J26" s="3">
        <f>J4 * Βάρη!$C$10</f>
        <v>1.7248787237282067E-2</v>
      </c>
      <c r="K26" s="3">
        <f>K4 * Βάρη!$C$11</f>
        <v>6.9258453669811737E-3</v>
      </c>
      <c r="L26" s="89">
        <f t="shared" ref="L26:L31" si="3">SQRT(SUMXMY2(B26:K26, $B$32:$K$32))</f>
        <v>0.11139441583643717</v>
      </c>
      <c r="M26" s="90">
        <f t="shared" ref="M26:M31" si="4">SQRT(SUMXMY2(B26:K26, $B$33:$K$33))</f>
        <v>9.6343904101857128E-2</v>
      </c>
      <c r="N26" s="89">
        <f t="shared" ref="N26:N31" si="5">M26 / (L26 + M26)</f>
        <v>0.46377531179839482</v>
      </c>
    </row>
    <row r="27" spans="1:14">
      <c r="A27" s="47" t="s">
        <v>13</v>
      </c>
      <c r="B27" s="3">
        <f>B5 * Βάρη!$C$2</f>
        <v>5.1363092599080291E-2</v>
      </c>
      <c r="C27" s="3">
        <f>C5 * Βάρη!$C$3</f>
        <v>5.4514559354901425E-2</v>
      </c>
      <c r="D27" s="3">
        <f>D5 * Βάρη!$C$4</f>
        <v>6.0512748679115907E-2</v>
      </c>
      <c r="E27" s="3">
        <f>E5 * Βάρη!$C$5</f>
        <v>0</v>
      </c>
      <c r="F27" s="3">
        <f>F5 * Βάρη!$C$6</f>
        <v>5.2486388108147805E-2</v>
      </c>
      <c r="G27" s="3">
        <f>G5 * Βάρη!$C$7</f>
        <v>5.1637143468500502E-3</v>
      </c>
      <c r="H27" s="3">
        <f>H5 * Βάρη!$C$8</f>
        <v>9.2529701419633188E-3</v>
      </c>
      <c r="I27" s="3">
        <f>I5 * Βάρη!$C$9</f>
        <v>1.8439729194076722E-2</v>
      </c>
      <c r="J27" s="3">
        <f>J5 * Βάρη!$C$10</f>
        <v>1.149919149152138E-2</v>
      </c>
      <c r="K27" s="3">
        <f>K5 * Βάρη!$C$11</f>
        <v>6.8914739259539719E-3</v>
      </c>
      <c r="L27" s="89">
        <f t="shared" si="3"/>
        <v>8.6677037966351886E-2</v>
      </c>
      <c r="M27" s="90">
        <f t="shared" si="4"/>
        <v>0.138676761593236</v>
      </c>
      <c r="N27" s="89">
        <f t="shared" si="5"/>
        <v>0.61537352316337224</v>
      </c>
    </row>
    <row r="28" spans="1:14">
      <c r="A28" s="47" t="s">
        <v>14</v>
      </c>
      <c r="B28" s="3">
        <f>B6 * Βάρη!$C$2</f>
        <v>0.10272618519816058</v>
      </c>
      <c r="C28" s="3">
        <f>C6 * Βάρη!$C$3</f>
        <v>9.3453530322688161E-2</v>
      </c>
      <c r="D28" s="3">
        <f>D6 * Βάρη!$C$4</f>
        <v>8.0683664905487867E-2</v>
      </c>
      <c r="E28" s="3">
        <f>E6 * Βάρη!$C$5</f>
        <v>4.5494053976089043E-2</v>
      </c>
      <c r="F28" s="3">
        <f>F6 * Βάρη!$C$6</f>
        <v>5.2486388108147805E-2</v>
      </c>
      <c r="G28" s="3">
        <f>G6 * Βάρη!$C$7</f>
        <v>0.103274286937001</v>
      </c>
      <c r="H28" s="3">
        <f>H6 * Βάρη!$C$8</f>
        <v>1.3879455212944976E-2</v>
      </c>
      <c r="I28" s="3">
        <f>I6 * Βάρη!$C$9</f>
        <v>7.3758916776306888E-2</v>
      </c>
      <c r="J28" s="3">
        <f>J6 * Βάρη!$C$10</f>
        <v>5.7495957457606899E-3</v>
      </c>
      <c r="K28" s="3">
        <f>K6 * Βάρη!$C$11</f>
        <v>6.9602168080083763E-3</v>
      </c>
      <c r="L28" s="89">
        <f t="shared" si="3"/>
        <v>0.12456640926435507</v>
      </c>
      <c r="M28" s="90">
        <f>SQRT(SUMXMY2(B28:K28, $B$33:$K$33))</f>
        <v>0.13924996039488749</v>
      </c>
      <c r="N28" s="89">
        <f t="shared" si="5"/>
        <v>0.5278291130104974</v>
      </c>
    </row>
    <row r="29" spans="1:14">
      <c r="A29" s="47" t="s">
        <v>15</v>
      </c>
      <c r="B29" s="3">
        <f>B7 * Βάρη!$C$2</f>
        <v>3.668792328505735E-2</v>
      </c>
      <c r="C29" s="3">
        <f>C7 * Βάρη!$C$3</f>
        <v>2.7257279677450712E-2</v>
      </c>
      <c r="D29" s="3">
        <f>D7 * Βάρη!$C$4</f>
        <v>2.0170916226371967E-2</v>
      </c>
      <c r="E29" s="3">
        <f>E7 * Βάρη!$C$5</f>
        <v>0</v>
      </c>
      <c r="F29" s="3">
        <f>F7 * Βάρη!$C$6</f>
        <v>0</v>
      </c>
      <c r="G29" s="3">
        <f>G7 * Βάρη!$C$7</f>
        <v>0</v>
      </c>
      <c r="H29" s="3">
        <f>H7 * Βάρη!$C$8</f>
        <v>0</v>
      </c>
      <c r="I29" s="3">
        <f>I7 * Βάρη!$C$9</f>
        <v>0</v>
      </c>
      <c r="J29" s="3">
        <f>J7 * Βάρη!$C$10</f>
        <v>0</v>
      </c>
      <c r="K29" s="3">
        <f>K7 * Βάρη!$C$11</f>
        <v>6.8227310438995683E-3</v>
      </c>
      <c r="L29" s="89">
        <f t="shared" si="3"/>
        <v>0.13725009494419876</v>
      </c>
      <c r="M29" s="90">
        <f t="shared" si="4"/>
        <v>0.13102316378485201</v>
      </c>
      <c r="N29" s="89">
        <f t="shared" si="5"/>
        <v>0.48839442442223474</v>
      </c>
    </row>
    <row r="30" spans="1:14">
      <c r="A30" s="47" t="s">
        <v>16</v>
      </c>
      <c r="B30" s="3">
        <f>B8 * Βάρη!$C$2</f>
        <v>8.8051015884137634E-2</v>
      </c>
      <c r="C30" s="3">
        <f>C8 * Βάρη!$C$3</f>
        <v>7.7877941935573458E-2</v>
      </c>
      <c r="D30" s="3">
        <f>D8 * Βάρη!$C$4</f>
        <v>6.0512748679115907E-2</v>
      </c>
      <c r="E30" s="3">
        <f>E8 * Βάρη!$C$5</f>
        <v>4.5494053976089043E-2</v>
      </c>
      <c r="F30" s="3">
        <f>F8 * Βάρη!$C$6</f>
        <v>5.2486388108147805E-2</v>
      </c>
      <c r="G30" s="3">
        <f>G8 * Βάρη!$C$7</f>
        <v>5.1637143468500499E-2</v>
      </c>
      <c r="H30" s="3">
        <f>H8 * Βάρη!$C$8</f>
        <v>4.6264850709816591E-2</v>
      </c>
      <c r="I30" s="3">
        <f>I8 * Βάρη!$C$9</f>
        <v>0</v>
      </c>
      <c r="J30" s="3">
        <f>J8 * Βάρη!$C$10</f>
        <v>1.7248787237282067E-2</v>
      </c>
      <c r="K30" s="3">
        <f>K8 * Βάρη!$C$11</f>
        <v>6.8742882054403714E-3</v>
      </c>
      <c r="L30" s="89">
        <f t="shared" si="3"/>
        <v>0.11648135529828166</v>
      </c>
      <c r="M30" s="90">
        <f t="shared" si="4"/>
        <v>0.11042522923053867</v>
      </c>
      <c r="N30" s="89">
        <f t="shared" si="5"/>
        <v>0.4866550235192188</v>
      </c>
    </row>
    <row r="31" spans="1:14">
      <c r="A31" s="50" t="s">
        <v>17</v>
      </c>
      <c r="B31" s="3">
        <f>B9 * Βάρη!$C$2</f>
        <v>4.4025507942068817E-2</v>
      </c>
      <c r="C31" s="3">
        <f>C9 * Βάρη!$C$3</f>
        <v>3.8938970967786729E-2</v>
      </c>
      <c r="D31" s="3">
        <f>D9 * Βάρη!$C$4</f>
        <v>4.0341832452743934E-2</v>
      </c>
      <c r="E31" s="3">
        <f>E9 * Βάρη!$C$5</f>
        <v>0</v>
      </c>
      <c r="F31" s="3">
        <f>F9 * Βάρη!$C$6</f>
        <v>0</v>
      </c>
      <c r="G31" s="3">
        <f>G9 * Βάρη!$C$7</f>
        <v>2.5818571734250251E-3</v>
      </c>
      <c r="H31" s="3">
        <f>H9 * Βάρη!$C$8</f>
        <v>4.6264850709816594E-3</v>
      </c>
      <c r="I31" s="3">
        <f>I9 * Βάρη!$C$9</f>
        <v>1.8439729194076722E-2</v>
      </c>
      <c r="J31" s="3">
        <f>J9 * Βάρη!$C$10</f>
        <v>5.7495957457606899E-3</v>
      </c>
      <c r="K31" s="3">
        <f>K9 * Βάρη!$C$11</f>
        <v>6.7711738823587652E-3</v>
      </c>
      <c r="L31" s="89">
        <f t="shared" si="3"/>
        <v>0.11341741455103038</v>
      </c>
      <c r="M31" s="90">
        <f t="shared" si="4"/>
        <v>0.12741623778739672</v>
      </c>
      <c r="N31" s="89">
        <f t="shared" si="5"/>
        <v>0.52906326233987999</v>
      </c>
    </row>
    <row r="32" spans="1:14">
      <c r="A32" s="51" t="s">
        <v>68</v>
      </c>
      <c r="B32" s="88">
        <f>MIN(B25:B31)</f>
        <v>3.668792328505735E-2</v>
      </c>
      <c r="C32" s="91">
        <f>MAX(C25:C31)</f>
        <v>9.3453530322688161E-2</v>
      </c>
      <c r="D32" s="91">
        <f t="shared" ref="D32:F32" si="6">MAX(D25:D31)</f>
        <v>8.0683664905487867E-2</v>
      </c>
      <c r="E32" s="91">
        <f t="shared" si="6"/>
        <v>4.5494053976089043E-2</v>
      </c>
      <c r="F32" s="91">
        <f t="shared" si="6"/>
        <v>5.2486388108147805E-2</v>
      </c>
      <c r="G32" s="91">
        <f>MIN(G25:G31)</f>
        <v>0</v>
      </c>
      <c r="H32" s="91">
        <f>MIN(H25:H31)</f>
        <v>0</v>
      </c>
      <c r="I32" s="91">
        <f>MAX(I25:I31)</f>
        <v>7.3758916776306888E-2</v>
      </c>
      <c r="J32" s="91">
        <f t="shared" ref="J32:K32" si="7">MAX(J25:J31)</f>
        <v>2.299838298304276E-2</v>
      </c>
      <c r="K32" s="91">
        <f t="shared" si="7"/>
        <v>6.9602168080083763E-3</v>
      </c>
      <c r="L32" s="89"/>
      <c r="M32" s="93"/>
      <c r="N32" s="88"/>
    </row>
    <row r="33" spans="1:14">
      <c r="A33" s="51" t="s">
        <v>69</v>
      </c>
      <c r="B33" s="91">
        <f>MAX(B25:B31)</f>
        <v>0.10272618519816058</v>
      </c>
      <c r="C33" s="91">
        <f>MIN(C25:C31)</f>
        <v>2.7257279677450712E-2</v>
      </c>
      <c r="D33" s="91">
        <f t="shared" ref="D33:F33" si="8">MIN(D25:D31)</f>
        <v>2.0170916226371967E-2</v>
      </c>
      <c r="E33" s="91">
        <f t="shared" si="8"/>
        <v>0</v>
      </c>
      <c r="F33" s="91">
        <f t="shared" si="8"/>
        <v>0</v>
      </c>
      <c r="G33" s="91">
        <f>MAX(G25:G31)</f>
        <v>0.103274286937001</v>
      </c>
      <c r="H33" s="91">
        <f>MAX(H25:H31)</f>
        <v>4.6264850709816591E-2</v>
      </c>
      <c r="I33" s="91">
        <f>MIN(I25:I31)</f>
        <v>0</v>
      </c>
      <c r="J33" s="91">
        <f>MIN(J25:J31)</f>
        <v>0</v>
      </c>
      <c r="K33" s="91">
        <f t="shared" ref="J33:K33" si="9">MIN(K25:K31)</f>
        <v>6.7711738823587652E-3</v>
      </c>
      <c r="L33" s="89"/>
      <c r="M33" s="93"/>
      <c r="N33" s="88"/>
    </row>
    <row r="35" spans="1:14">
      <c r="A35" s="67" t="s">
        <v>71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</row>
    <row r="36" spans="1:14">
      <c r="A36" s="46" t="s">
        <v>0</v>
      </c>
      <c r="B36" s="46" t="s">
        <v>1</v>
      </c>
      <c r="C36" s="46" t="s">
        <v>2</v>
      </c>
      <c r="D36" s="46" t="s">
        <v>3</v>
      </c>
      <c r="E36" s="46" t="s">
        <v>4</v>
      </c>
      <c r="F36" s="46" t="s">
        <v>5</v>
      </c>
      <c r="G36" s="46" t="s">
        <v>6</v>
      </c>
      <c r="H36" s="46" t="s">
        <v>7</v>
      </c>
      <c r="I36" s="46" t="s">
        <v>8</v>
      </c>
      <c r="J36" s="46" t="s">
        <v>9</v>
      </c>
      <c r="K36" s="46" t="s">
        <v>10</v>
      </c>
      <c r="L36" s="46" t="s">
        <v>65</v>
      </c>
      <c r="M36" s="46" t="s">
        <v>66</v>
      </c>
      <c r="N36" s="46" t="s">
        <v>67</v>
      </c>
    </row>
    <row r="37" spans="1:14">
      <c r="A37" s="47" t="s">
        <v>11</v>
      </c>
      <c r="B37" s="3">
        <f>B3 * Βάρη!$D$2</f>
        <v>0.13778474914805444</v>
      </c>
      <c r="C37" s="3">
        <f>C3 * Βάρη!$D$3</f>
        <v>7.311937916454736E-2</v>
      </c>
      <c r="D37" s="3">
        <f>D3 * Βάρη!$D$4</f>
        <v>4.7346040322706187E-2</v>
      </c>
      <c r="E37" s="3">
        <f>E3 * Βάρη!$D$5</f>
        <v>2.0340113551157547E-2</v>
      </c>
      <c r="F37" s="3">
        <f>F3 * Βάρη!$D$6</f>
        <v>0</v>
      </c>
      <c r="G37" s="3">
        <f>G3 * Βάρη!$D$7</f>
        <v>8.6574942476994148E-3</v>
      </c>
      <c r="H37" s="3">
        <f>H3 * Βάρη!$D$8</f>
        <v>1.809914055339323E-2</v>
      </c>
      <c r="I37" s="3">
        <f>I3 * Βάρη!$D$9</f>
        <v>2.3084012701973845E-2</v>
      </c>
      <c r="J37" s="3">
        <f>J3 * Βάρη!$D$10</f>
        <v>2.3992351845201092E-2</v>
      </c>
      <c r="K37" s="3">
        <f>K3 * Βάρη!$D$11</f>
        <v>1.2876228213126277E-2</v>
      </c>
      <c r="L37" s="89">
        <f>SQRT(SUMXMY2(B37:K37, $B$44:$K$44))</f>
        <v>8.7792155530238059E-2</v>
      </c>
      <c r="M37" s="90">
        <f>SQRT(SUMXMY2(B37:K37, $B$45:$K$45))</f>
        <v>0.10748480477145554</v>
      </c>
      <c r="N37" s="89">
        <f>M37 / (L37 + M37)</f>
        <v>0.5504223570737512</v>
      </c>
    </row>
    <row r="38" spans="1:14">
      <c r="A38" s="47" t="s">
        <v>12</v>
      </c>
      <c r="B38" s="3">
        <f>B4 * Βάρη!$D$2</f>
        <v>0.11022779931844355</v>
      </c>
      <c r="C38" s="3">
        <f>C4 * Βάρη!$D$3</f>
        <v>4.4684065045001164E-2</v>
      </c>
      <c r="D38" s="3">
        <f>D4 * Βάρη!$D$4</f>
        <v>3.1564026881804125E-2</v>
      </c>
      <c r="E38" s="3">
        <f>E4 * Βάρη!$D$5</f>
        <v>1.0170056775578773E-2</v>
      </c>
      <c r="F38" s="3">
        <f>F4 * Βάρη!$D$6</f>
        <v>0</v>
      </c>
      <c r="G38" s="3">
        <f>G4 * Βάρη!$D$7</f>
        <v>3.4629976990797659E-2</v>
      </c>
      <c r="H38" s="3">
        <f>H4 * Βάρη!$D$8</f>
        <v>0</v>
      </c>
      <c r="I38" s="3">
        <f>I4 * Βάρη!$D$9</f>
        <v>2.3084012701973845E-2</v>
      </c>
      <c r="J38" s="3">
        <f>J4 * Βάρη!$D$10</f>
        <v>1.7994263883900817E-2</v>
      </c>
      <c r="K38" s="3">
        <f>K4 * Βάρη!$D$11</f>
        <v>1.3005313207744083E-2</v>
      </c>
      <c r="L38" s="89">
        <f t="shared" ref="L38:L43" si="10">SQRT(SUMXMY2(B38:K38, $B$44:$K$44))</f>
        <v>9.3566856789181696E-2</v>
      </c>
      <c r="M38" s="90">
        <f t="shared" ref="M38:M43" si="11">SQRT(SUMXMY2(B38:K38, $B$45:$K$45))</f>
        <v>0.10400621932192387</v>
      </c>
      <c r="N38" s="89">
        <f>M38 / (L38 + M38)</f>
        <v>0.52641899073047682</v>
      </c>
    </row>
    <row r="39" spans="1:14">
      <c r="A39" s="47" t="s">
        <v>13</v>
      </c>
      <c r="B39" s="3">
        <f>B5 * Βάρη!$D$2</f>
        <v>9.6449324403638112E-2</v>
      </c>
      <c r="C39" s="3">
        <f>C5 * Βάρη!$D$3</f>
        <v>5.6870628239092398E-2</v>
      </c>
      <c r="D39" s="3">
        <f>D5 * Βάρη!$D$4</f>
        <v>4.7346040322706187E-2</v>
      </c>
      <c r="E39" s="3">
        <f>E5 * Βάρη!$D$5</f>
        <v>0</v>
      </c>
      <c r="F39" s="3">
        <f>F5 * Βάρη!$D$6</f>
        <v>3.2852880783043333E-2</v>
      </c>
      <c r="G39" s="3">
        <f>G5 * Βάρη!$D$7</f>
        <v>3.4629976990797661E-3</v>
      </c>
      <c r="H39" s="3">
        <f>H5 * Βάρη!$D$8</f>
        <v>7.2396562213572924E-3</v>
      </c>
      <c r="I39" s="3">
        <f>I5 * Βάρη!$D$9</f>
        <v>1.1542006350986922E-2</v>
      </c>
      <c r="J39" s="3">
        <f>J5 * Βάρη!$D$10</f>
        <v>1.1996175922600546E-2</v>
      </c>
      <c r="K39" s="3">
        <f>K5 * Βάρη!$D$11</f>
        <v>1.2940770710435182E-2</v>
      </c>
      <c r="L39" s="89">
        <f t="shared" si="10"/>
        <v>7.0687735233463708E-2</v>
      </c>
      <c r="M39" s="90">
        <f t="shared" si="11"/>
        <v>0.13278425141803171</v>
      </c>
      <c r="N39" s="89">
        <f t="shared" ref="N38:N43" si="12">M39 / (L39 + M39)</f>
        <v>0.65259229834651944</v>
      </c>
    </row>
    <row r="40" spans="1:14">
      <c r="A40" s="47" t="s">
        <v>14</v>
      </c>
      <c r="B40" s="3">
        <f>B6 * Βάρη!$D$2</f>
        <v>0.19289864880727622</v>
      </c>
      <c r="C40" s="3">
        <f>C6 * Βάρη!$D$3</f>
        <v>9.7492505552729827E-2</v>
      </c>
      <c r="D40" s="3">
        <f>D6 * Βάρη!$D$4</f>
        <v>6.3128053763608249E-2</v>
      </c>
      <c r="E40" s="3">
        <f>E6 * Βάρη!$D$5</f>
        <v>3.0510170326736322E-2</v>
      </c>
      <c r="F40" s="3">
        <f>F6 * Βάρη!$D$6</f>
        <v>3.2852880783043333E-2</v>
      </c>
      <c r="G40" s="3">
        <f>G6 * Βάρη!$D$7</f>
        <v>6.9259953981595318E-2</v>
      </c>
      <c r="H40" s="3">
        <f>H6 * Βάρη!$D$8</f>
        <v>1.0859484332035938E-2</v>
      </c>
      <c r="I40" s="3">
        <f>I6 * Βάρη!$D$9</f>
        <v>4.6168025403947689E-2</v>
      </c>
      <c r="J40" s="3">
        <f>J6 * Βάρη!$D$10</f>
        <v>5.9980879613002729E-3</v>
      </c>
      <c r="K40" s="3">
        <f>K6 * Βάρη!$D$11</f>
        <v>1.3069855705052988E-2</v>
      </c>
      <c r="L40" s="89">
        <f t="shared" si="10"/>
        <v>0.14358349211321492</v>
      </c>
      <c r="M40" s="90">
        <f t="shared" si="11"/>
        <v>0.10876750321821968</v>
      </c>
      <c r="N40" s="89">
        <f t="shared" si="12"/>
        <v>0.43101673950350716</v>
      </c>
    </row>
    <row r="41" spans="1:14">
      <c r="A41" s="47" t="s">
        <v>15</v>
      </c>
      <c r="B41" s="3">
        <f>B7 * Βάρη!$D$2</f>
        <v>6.8892374574027221E-2</v>
      </c>
      <c r="C41" s="3">
        <f>C7 * Βάρη!$D$3</f>
        <v>2.8435314119546199E-2</v>
      </c>
      <c r="D41" s="3">
        <f>D7 * Βάρη!$D$4</f>
        <v>1.5782013440902062E-2</v>
      </c>
      <c r="E41" s="3">
        <f>E7 * Βάρη!$D$5</f>
        <v>0</v>
      </c>
      <c r="F41" s="3">
        <f>F7 * Βάρη!$D$6</f>
        <v>0</v>
      </c>
      <c r="G41" s="3">
        <f>G7 * Βάρη!$D$7</f>
        <v>0</v>
      </c>
      <c r="H41" s="3">
        <f>H7 * Βάρη!$D$8</f>
        <v>0</v>
      </c>
      <c r="I41" s="3">
        <f>I7 * Βάρη!$D$9</f>
        <v>0</v>
      </c>
      <c r="J41" s="3">
        <f>J7 * Βάρη!$D$10</f>
        <v>0</v>
      </c>
      <c r="K41" s="3">
        <f>K7 * Βάρη!$D$11</f>
        <v>1.2811685715817374E-2</v>
      </c>
      <c r="L41" s="89">
        <f t="shared" si="10"/>
        <v>0.10829548310292925</v>
      </c>
      <c r="M41" s="90">
        <f t="shared" si="11"/>
        <v>0.14657701798962822</v>
      </c>
      <c r="N41" s="89">
        <f t="shared" si="12"/>
        <v>0.57509938248064862</v>
      </c>
    </row>
    <row r="42" spans="1:14">
      <c r="A42" s="47" t="s">
        <v>16</v>
      </c>
      <c r="B42" s="3">
        <f>B8 * Βάρη!$D$2</f>
        <v>0.16534169897766532</v>
      </c>
      <c r="C42" s="3">
        <f>C8 * Βάρη!$D$3</f>
        <v>8.1243754627274845E-2</v>
      </c>
      <c r="D42" s="3">
        <f>D8 * Βάρη!$D$4</f>
        <v>4.7346040322706187E-2</v>
      </c>
      <c r="E42" s="3">
        <f>E8 * Βάρη!$D$5</f>
        <v>3.0510170326736322E-2</v>
      </c>
      <c r="F42" s="3">
        <f>F8 * Βάρη!$D$6</f>
        <v>3.2852880783043333E-2</v>
      </c>
      <c r="G42" s="3">
        <f>G8 * Βάρη!$D$7</f>
        <v>3.4629976990797659E-2</v>
      </c>
      <c r="H42" s="3">
        <f>H8 * Βάρη!$D$8</f>
        <v>3.619828110678646E-2</v>
      </c>
      <c r="I42" s="3">
        <f>I8 * Βάρη!$D$9</f>
        <v>0</v>
      </c>
      <c r="J42" s="3">
        <f>J8 * Βάρη!$D$10</f>
        <v>1.7994263883900817E-2</v>
      </c>
      <c r="K42" s="3">
        <f>K8 * Βάρη!$D$11</f>
        <v>1.290849946178073E-2</v>
      </c>
      <c r="L42" s="89">
        <f t="shared" si="10"/>
        <v>0.12038524228077922</v>
      </c>
      <c r="M42" s="90">
        <f t="shared" si="11"/>
        <v>8.987576573019472E-2</v>
      </c>
      <c r="N42" s="89">
        <f t="shared" si="12"/>
        <v>0.4274485630046248</v>
      </c>
    </row>
    <row r="43" spans="1:14">
      <c r="A43" s="50" t="s">
        <v>17</v>
      </c>
      <c r="B43" s="3">
        <f>B9 * Βάρη!$D$2</f>
        <v>8.2670849488832659E-2</v>
      </c>
      <c r="C43" s="3">
        <f>C9 * Βάρη!$D$3</f>
        <v>4.0621877313637422E-2</v>
      </c>
      <c r="D43" s="3">
        <f>D9 * Βάρη!$D$4</f>
        <v>3.1564026881804125E-2</v>
      </c>
      <c r="E43" s="3">
        <f>E9 * Βάρη!$D$5</f>
        <v>0</v>
      </c>
      <c r="F43" s="3">
        <f>F9 * Βάρη!$D$6</f>
        <v>0</v>
      </c>
      <c r="G43" s="3">
        <f>G9 * Βάρη!$D$7</f>
        <v>1.731498849539883E-3</v>
      </c>
      <c r="H43" s="3">
        <f>H9 * Βάρη!$D$8</f>
        <v>3.6198281106786462E-3</v>
      </c>
      <c r="I43" s="3">
        <f>I9 * Βάρη!$D$9</f>
        <v>1.1542006350986922E-2</v>
      </c>
      <c r="J43" s="3">
        <f>J9 * Βάρη!$D$10</f>
        <v>5.9980879613002729E-3</v>
      </c>
      <c r="K43" s="3">
        <f>K9 * Βάρη!$D$11</f>
        <v>1.2714871969854017E-2</v>
      </c>
      <c r="L43" s="89">
        <f t="shared" si="10"/>
        <v>8.9272430093742167E-2</v>
      </c>
      <c r="M43" s="90">
        <f t="shared" si="11"/>
        <v>0.13541932962195172</v>
      </c>
      <c r="N43" s="89">
        <f t="shared" si="12"/>
        <v>0.60268934558748388</v>
      </c>
    </row>
    <row r="44" spans="1:14">
      <c r="A44" s="51" t="s">
        <v>68</v>
      </c>
      <c r="B44" s="88">
        <f>MIN(B37:B43)</f>
        <v>6.8892374574027221E-2</v>
      </c>
      <c r="C44" s="91">
        <f>MAX(C37:C43)</f>
        <v>9.7492505552729827E-2</v>
      </c>
      <c r="D44" s="91">
        <f t="shared" ref="D44:F44" si="13">MAX(D37:D43)</f>
        <v>6.3128053763608249E-2</v>
      </c>
      <c r="E44" s="91">
        <f t="shared" si="13"/>
        <v>3.0510170326736322E-2</v>
      </c>
      <c r="F44" s="91">
        <f t="shared" si="13"/>
        <v>3.2852880783043333E-2</v>
      </c>
      <c r="G44" s="91">
        <f>MIN(G37:G43)</f>
        <v>0</v>
      </c>
      <c r="H44" s="91">
        <f>MIN(H37:H43)</f>
        <v>0</v>
      </c>
      <c r="I44" s="91">
        <f>MAX(I37:I43)</f>
        <v>4.6168025403947689E-2</v>
      </c>
      <c r="J44" s="91">
        <f t="shared" ref="J44:K44" si="14">MAX(J37:J43)</f>
        <v>2.3992351845201092E-2</v>
      </c>
      <c r="K44" s="91">
        <f t="shared" si="14"/>
        <v>1.3069855705052988E-2</v>
      </c>
      <c r="L44" s="89"/>
      <c r="M44" s="93"/>
      <c r="N44" s="88"/>
    </row>
    <row r="45" spans="1:14">
      <c r="A45" s="51" t="s">
        <v>69</v>
      </c>
      <c r="B45" s="91">
        <f>MAX(B37:B43)</f>
        <v>0.19289864880727622</v>
      </c>
      <c r="C45" s="91">
        <f>MIN(C37:C43)</f>
        <v>2.8435314119546199E-2</v>
      </c>
      <c r="D45" s="91">
        <f t="shared" ref="D45:F45" si="15">MIN(D37:D43)</f>
        <v>1.5782013440902062E-2</v>
      </c>
      <c r="E45" s="91">
        <f t="shared" si="15"/>
        <v>0</v>
      </c>
      <c r="F45" s="91">
        <f t="shared" si="15"/>
        <v>0</v>
      </c>
      <c r="G45" s="91">
        <f>MAX(G37:G43)</f>
        <v>6.9259953981595318E-2</v>
      </c>
      <c r="H45" s="91">
        <f>MAX(H37:H43)</f>
        <v>3.619828110678646E-2</v>
      </c>
      <c r="I45" s="91">
        <f>MIN(I37:I43)</f>
        <v>0</v>
      </c>
      <c r="J45" s="91">
        <f t="shared" ref="J45:K45" si="16">MIN(J37:J43)</f>
        <v>0</v>
      </c>
      <c r="K45" s="91">
        <f t="shared" si="16"/>
        <v>1.2714871969854017E-2</v>
      </c>
      <c r="L45" s="89"/>
      <c r="M45" s="93"/>
      <c r="N45" s="88"/>
    </row>
    <row r="47" spans="1:14">
      <c r="A47" s="67" t="s">
        <v>72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</row>
    <row r="48" spans="1:14">
      <c r="A48" s="46" t="s">
        <v>0</v>
      </c>
      <c r="B48" s="46" t="s">
        <v>1</v>
      </c>
      <c r="C48" s="46" t="s">
        <v>2</v>
      </c>
      <c r="D48" s="46" t="s">
        <v>3</v>
      </c>
      <c r="E48" s="46" t="s">
        <v>4</v>
      </c>
      <c r="F48" s="46" t="s">
        <v>5</v>
      </c>
      <c r="G48" s="46" t="s">
        <v>6</v>
      </c>
      <c r="H48" s="46" t="s">
        <v>7</v>
      </c>
      <c r="I48" s="46" t="s">
        <v>8</v>
      </c>
      <c r="J48" s="46" t="s">
        <v>9</v>
      </c>
      <c r="K48" s="46" t="s">
        <v>10</v>
      </c>
      <c r="L48" s="46" t="s">
        <v>65</v>
      </c>
      <c r="M48" s="46" t="s">
        <v>66</v>
      </c>
      <c r="N48" s="46" t="s">
        <v>67</v>
      </c>
    </row>
    <row r="49" spans="1:14">
      <c r="A49" s="47" t="s">
        <v>11</v>
      </c>
      <c r="B49" s="3">
        <f>B3 * Βάρη!$F$2</f>
        <v>7.33758465701147E-2</v>
      </c>
      <c r="C49" s="3">
        <f>C3 * Βάρη!$F$3</f>
        <v>7.0090147742016107E-2</v>
      </c>
      <c r="D49" s="3">
        <f>D3 * Βάρη!$F$4</f>
        <v>6.0512748679115907E-2</v>
      </c>
      <c r="E49" s="3">
        <f>E3 * Βάρη!$F$5</f>
        <v>5.3076396305437208E-2</v>
      </c>
      <c r="F49" s="3">
        <f>F3 * Βάρη!$F$6</f>
        <v>0</v>
      </c>
      <c r="G49" s="3">
        <f>G3 * Βάρη!$F$7</f>
        <v>9.2209184765179482E-3</v>
      </c>
      <c r="H49" s="3">
        <f>H3 * Βάρη!$F$8</f>
        <v>3.0843233806544391E-2</v>
      </c>
      <c r="I49" s="3">
        <f>I3 * Βάρη!$F$9</f>
        <v>1.8439729194076722E-2</v>
      </c>
      <c r="J49" s="3">
        <f>J3 * Βάρη!$F$10</f>
        <v>2.299838298304276E-2</v>
      </c>
      <c r="K49" s="3">
        <f>K3 * Βάρη!$F$11</f>
        <v>6.8571024849267701E-3</v>
      </c>
      <c r="L49" s="89">
        <f>SQRT(SUMXMY2(B49:K49, $B$56:$K$56))</f>
        <v>9.1358086595856244E-2</v>
      </c>
      <c r="M49" s="90">
        <f>SQRT(SUMXMY2(B49:K49, $B$57:$K$57))</f>
        <v>0.11457385165284849</v>
      </c>
      <c r="N49" s="89">
        <f>M49 / (L49 + M49)</f>
        <v>0.55636756798004416</v>
      </c>
    </row>
    <row r="50" spans="1:14">
      <c r="A50" s="47" t="s">
        <v>12</v>
      </c>
      <c r="B50" s="3">
        <f>B4 * Βάρη!$F$2</f>
        <v>5.8700677256091759E-2</v>
      </c>
      <c r="C50" s="3">
        <f>C4 * Βάρη!$F$3</f>
        <v>4.2832868064565398E-2</v>
      </c>
      <c r="D50" s="3">
        <f>D4 * Βάρη!$F$4</f>
        <v>4.0341832452743934E-2</v>
      </c>
      <c r="E50" s="3">
        <f>E4 * Βάρη!$F$5</f>
        <v>2.6538198152718604E-2</v>
      </c>
      <c r="F50" s="3">
        <f>F4 * Βάρη!$F$6</f>
        <v>0</v>
      </c>
      <c r="G50" s="3">
        <f>G4 * Βάρη!$F$7</f>
        <v>3.6883673906071793E-2</v>
      </c>
      <c r="H50" s="3">
        <f>H4 * Βάρη!$F$8</f>
        <v>0</v>
      </c>
      <c r="I50" s="3">
        <f>I4 * Βάρη!$F$9</f>
        <v>1.8439729194076722E-2</v>
      </c>
      <c r="J50" s="3">
        <f>J4 * Βάρη!$F$10</f>
        <v>1.7248787237282067E-2</v>
      </c>
      <c r="K50" s="3">
        <f>K4 * Βάρη!$F$11</f>
        <v>6.9258453669811737E-3</v>
      </c>
      <c r="L50" s="89">
        <f t="shared" ref="L50:L55" si="17">SQRT(SUMXMY2(B50:K50, $B$56:$K$56))</f>
        <v>0.1148564768317991</v>
      </c>
      <c r="M50" s="90">
        <f t="shared" ref="M50:M55" si="18">SQRT(SUMXMY2(B50:K50, $B$57:$K$57))</f>
        <v>9.5368653185060839E-2</v>
      </c>
      <c r="N50" s="89">
        <f t="shared" ref="N50:N55" si="19">M50 / (L50 + M50)</f>
        <v>0.45365010918253362</v>
      </c>
    </row>
    <row r="51" spans="1:14">
      <c r="A51" s="47" t="s">
        <v>13</v>
      </c>
      <c r="B51" s="3">
        <f>B5 * Βάρη!$F$2</f>
        <v>5.1363092599080291E-2</v>
      </c>
      <c r="C51" s="3">
        <f>C5 * Βάρη!$F$3</f>
        <v>5.4514559354901425E-2</v>
      </c>
      <c r="D51" s="3">
        <f>D5 * Βάρη!$F$4</f>
        <v>6.0512748679115907E-2</v>
      </c>
      <c r="E51" s="3">
        <f>E5 * Βάρη!$F$5</f>
        <v>0</v>
      </c>
      <c r="F51" s="3">
        <f>F5 * Βάρη!$F$6</f>
        <v>6.2983665729777358E-2</v>
      </c>
      <c r="G51" s="3">
        <f>G5 * Βάρη!$F$7</f>
        <v>3.6883673906071791E-3</v>
      </c>
      <c r="H51" s="3">
        <f>H5 * Βάρη!$F$8</f>
        <v>1.2337293522617759E-2</v>
      </c>
      <c r="I51" s="3">
        <f>I5 * Βάρη!$F$9</f>
        <v>9.2198645970383609E-3</v>
      </c>
      <c r="J51" s="3">
        <f>J5 * Βάρη!$F$10</f>
        <v>1.149919149152138E-2</v>
      </c>
      <c r="K51" s="3">
        <f>K5 * Βάρη!$F$11</f>
        <v>6.8914739259539719E-3</v>
      </c>
      <c r="L51" s="89">
        <f t="shared" si="17"/>
        <v>9.7673208666842898E-2</v>
      </c>
      <c r="M51" s="90">
        <f t="shared" si="18"/>
        <v>0.12860477608449325</v>
      </c>
      <c r="N51" s="89">
        <f t="shared" si="19"/>
        <v>0.56834860106174712</v>
      </c>
    </row>
    <row r="52" spans="1:14">
      <c r="A52" s="47" t="s">
        <v>14</v>
      </c>
      <c r="B52" s="3">
        <f>B6 * Βάρη!$F$2</f>
        <v>0.10272618519816058</v>
      </c>
      <c r="C52" s="3">
        <f>C6 * Βάρη!$F$3</f>
        <v>9.3453530322688161E-2</v>
      </c>
      <c r="D52" s="3">
        <f>D6 * Βάρη!$F$4</f>
        <v>8.0683664905487867E-2</v>
      </c>
      <c r="E52" s="3">
        <f>E6 * Βάρη!$F$5</f>
        <v>7.9614594458155816E-2</v>
      </c>
      <c r="F52" s="3">
        <f>F6 * Βάρη!$F$6</f>
        <v>6.2983665729777358E-2</v>
      </c>
      <c r="G52" s="3">
        <f>G6 * Βάρη!$F$7</f>
        <v>7.3767347812143585E-2</v>
      </c>
      <c r="H52" s="3">
        <f>H6 * Βάρη!$F$8</f>
        <v>1.8505940283926638E-2</v>
      </c>
      <c r="I52" s="3">
        <f>I6 * Βάρη!$F$9</f>
        <v>3.6879458388153444E-2</v>
      </c>
      <c r="J52" s="3">
        <f>J6 * Βάρη!$F$10</f>
        <v>5.7495957457606899E-3</v>
      </c>
      <c r="K52" s="3">
        <f>K6 * Βάρη!$F$11</f>
        <v>6.9602168080083763E-3</v>
      </c>
      <c r="L52" s="89">
        <f t="shared" si="17"/>
        <v>0.10218935427279434</v>
      </c>
      <c r="M52" s="90">
        <f t="shared" si="18"/>
        <v>0.14699288462909135</v>
      </c>
      <c r="N52" s="89">
        <f t="shared" si="19"/>
        <v>0.58990113130402166</v>
      </c>
    </row>
    <row r="53" spans="1:14">
      <c r="A53" s="47" t="s">
        <v>15</v>
      </c>
      <c r="B53" s="3">
        <f>B7 * Βάρη!$F$2</f>
        <v>3.668792328505735E-2</v>
      </c>
      <c r="C53" s="3">
        <f>C7 * Βάρη!$F$3</f>
        <v>2.7257279677450712E-2</v>
      </c>
      <c r="D53" s="3">
        <f>D7 * Βάρη!$F$4</f>
        <v>2.0170916226371967E-2</v>
      </c>
      <c r="E53" s="3">
        <f>E7 * Βάρη!$F$5</f>
        <v>0</v>
      </c>
      <c r="F53" s="3">
        <f>F7 * Βάρη!$F$6</f>
        <v>0</v>
      </c>
      <c r="G53" s="3">
        <f>G7 * Βάρη!$F$7</f>
        <v>0</v>
      </c>
      <c r="H53" s="3">
        <f>H7 * Βάρη!$F$8</f>
        <v>0</v>
      </c>
      <c r="I53" s="3">
        <f>I7 * Βάρη!$F$9</f>
        <v>0</v>
      </c>
      <c r="J53" s="3">
        <f>J7 * Βάρη!$F$10</f>
        <v>0</v>
      </c>
      <c r="K53" s="3">
        <f>K7 * Βάρη!$F$11</f>
        <v>6.8227310438995683E-3</v>
      </c>
      <c r="L53" s="89">
        <f t="shared" si="17"/>
        <v>0.14226103164556159</v>
      </c>
      <c r="M53" s="90">
        <f t="shared" si="18"/>
        <v>0.11665288931039361</v>
      </c>
      <c r="N53" s="89">
        <f t="shared" si="19"/>
        <v>0.45054699600427378</v>
      </c>
    </row>
    <row r="54" spans="1:14">
      <c r="A54" s="47" t="s">
        <v>16</v>
      </c>
      <c r="B54" s="3">
        <f>B8 * Βάρη!$F$2</f>
        <v>8.8051015884137634E-2</v>
      </c>
      <c r="C54" s="3">
        <f>C8 * Βάρη!$F$3</f>
        <v>7.7877941935573458E-2</v>
      </c>
      <c r="D54" s="3">
        <f>D8 * Βάρη!$F$4</f>
        <v>6.0512748679115907E-2</v>
      </c>
      <c r="E54" s="3">
        <f>E8 * Βάρη!$F$5</f>
        <v>7.9614594458155816E-2</v>
      </c>
      <c r="F54" s="3">
        <f>F8 * Βάρη!$F$6</f>
        <v>6.2983665729777358E-2</v>
      </c>
      <c r="G54" s="3">
        <f>G8 * Βάρη!$F$7</f>
        <v>3.6883673906071793E-2</v>
      </c>
      <c r="H54" s="3">
        <f>H8 * Βάρη!$F$8</f>
        <v>6.1686467613088783E-2</v>
      </c>
      <c r="I54" s="3">
        <f>I8 * Βάρη!$F$9</f>
        <v>0</v>
      </c>
      <c r="J54" s="3">
        <f>J8 * Βάρη!$F$10</f>
        <v>1.7248787237282067E-2</v>
      </c>
      <c r="K54" s="3">
        <f>K8 * Βάρη!$F$11</f>
        <v>6.8742882054403714E-3</v>
      </c>
      <c r="L54" s="89">
        <f t="shared" si="17"/>
        <v>9.9229116038166323E-2</v>
      </c>
      <c r="M54" s="90">
        <f t="shared" si="18"/>
        <v>0.12793997804251209</v>
      </c>
      <c r="N54" s="89">
        <f t="shared" si="19"/>
        <v>0.56319271140410754</v>
      </c>
    </row>
    <row r="55" spans="1:14">
      <c r="A55" s="50" t="s">
        <v>17</v>
      </c>
      <c r="B55" s="3">
        <f>B9 * Βάρη!$F$2</f>
        <v>4.4025507942068817E-2</v>
      </c>
      <c r="C55" s="3">
        <f>C9 * Βάρη!$F$3</f>
        <v>3.8938970967786729E-2</v>
      </c>
      <c r="D55" s="3">
        <f>D9 * Βάρη!$F$4</f>
        <v>4.0341832452743934E-2</v>
      </c>
      <c r="E55" s="3">
        <f>E9 * Βάρη!$F$5</f>
        <v>0</v>
      </c>
      <c r="F55" s="3">
        <f>F9 * Βάρη!$F$6</f>
        <v>0</v>
      </c>
      <c r="G55" s="3">
        <f>G9 * Βάρη!$F$7</f>
        <v>1.8441836953035896E-3</v>
      </c>
      <c r="H55" s="3">
        <f>H9 * Βάρη!$F$8</f>
        <v>6.1686467613088795E-3</v>
      </c>
      <c r="I55" s="3">
        <f>I9 * Βάρη!$F$9</f>
        <v>9.2198645970383609E-3</v>
      </c>
      <c r="J55" s="3">
        <f>J9 * Βάρη!$F$10</f>
        <v>5.7495957457606899E-3</v>
      </c>
      <c r="K55" s="3">
        <f>K9 * Βάρη!$F$11</f>
        <v>6.7711738823587652E-3</v>
      </c>
      <c r="L55" s="89">
        <f t="shared" si="17"/>
        <v>0.12673842873746768</v>
      </c>
      <c r="M55" s="90">
        <f t="shared" si="18"/>
        <v>0.11118601983286161</v>
      </c>
      <c r="N55" s="89">
        <f t="shared" si="19"/>
        <v>0.467316496900467</v>
      </c>
    </row>
    <row r="56" spans="1:14">
      <c r="A56" s="51" t="s">
        <v>68</v>
      </c>
      <c r="B56" s="88">
        <f>MIN(B49:B55)</f>
        <v>3.668792328505735E-2</v>
      </c>
      <c r="C56" s="91">
        <f>MAX(C49:C55)</f>
        <v>9.3453530322688161E-2</v>
      </c>
      <c r="D56" s="91">
        <f t="shared" ref="D56:F56" si="20">MAX(D49:D55)</f>
        <v>8.0683664905487867E-2</v>
      </c>
      <c r="E56" s="91">
        <f t="shared" si="20"/>
        <v>7.9614594458155816E-2</v>
      </c>
      <c r="F56" s="91">
        <f t="shared" si="20"/>
        <v>6.2983665729777358E-2</v>
      </c>
      <c r="G56" s="91">
        <f>MIN(G49:G55)</f>
        <v>0</v>
      </c>
      <c r="H56" s="92">
        <f>MIN(H49:H55)</f>
        <v>0</v>
      </c>
      <c r="I56" s="91">
        <f>MAX(I49:I55)</f>
        <v>3.6879458388153444E-2</v>
      </c>
      <c r="J56" s="91">
        <f t="shared" ref="J56:K56" si="21">MAX(J49:J55)</f>
        <v>2.299838298304276E-2</v>
      </c>
      <c r="K56" s="91">
        <f t="shared" si="21"/>
        <v>6.9602168080083763E-3</v>
      </c>
      <c r="L56" s="89"/>
      <c r="M56" s="93"/>
      <c r="N56" s="88"/>
    </row>
    <row r="57" spans="1:14">
      <c r="A57" s="51" t="s">
        <v>69</v>
      </c>
      <c r="B57" s="91">
        <f>MAX(B49:B55)</f>
        <v>0.10272618519816058</v>
      </c>
      <c r="C57" s="91">
        <f>MIN(C49:C55)</f>
        <v>2.7257279677450712E-2</v>
      </c>
      <c r="D57" s="91">
        <f t="shared" ref="D57:F57" si="22">MIN(D49:D55)</f>
        <v>2.0170916226371967E-2</v>
      </c>
      <c r="E57" s="91">
        <f t="shared" si="22"/>
        <v>0</v>
      </c>
      <c r="F57" s="91">
        <f t="shared" si="22"/>
        <v>0</v>
      </c>
      <c r="G57" s="91">
        <f>MAX(G49:G55)</f>
        <v>7.3767347812143585E-2</v>
      </c>
      <c r="H57" s="92">
        <f>MAX(H49:H55)</f>
        <v>6.1686467613088783E-2</v>
      </c>
      <c r="I57" s="91">
        <f>MIN(I49:I55)</f>
        <v>0</v>
      </c>
      <c r="J57" s="91">
        <f t="shared" ref="J57:K57" si="23">MIN(J49:J55)</f>
        <v>0</v>
      </c>
      <c r="K57" s="91">
        <f t="shared" si="23"/>
        <v>6.7711738823587652E-3</v>
      </c>
      <c r="L57" s="89"/>
      <c r="M57" s="93"/>
      <c r="N57" s="88"/>
    </row>
  </sheetData>
  <mergeCells count="5">
    <mergeCell ref="A47:N47"/>
    <mergeCell ref="A1:K1"/>
    <mergeCell ref="A11:N11"/>
    <mergeCell ref="A23:N23"/>
    <mergeCell ref="A35:N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8AE6-D8A5-486F-A2B9-19CBE74E5633}">
  <dimension ref="A2:M253"/>
  <sheetViews>
    <sheetView workbookViewId="0">
      <selection activeCell="M10" sqref="M10"/>
    </sheetView>
  </sheetViews>
  <sheetFormatPr defaultRowHeight="15.75"/>
  <cols>
    <col min="1" max="1" width="30.28515625" style="11" bestFit="1" customWidth="1"/>
    <col min="2" max="2" width="10.85546875" style="11" customWidth="1"/>
    <col min="3" max="3" width="11.140625" style="11" customWidth="1"/>
    <col min="4" max="4" width="11.85546875" style="11" customWidth="1"/>
    <col min="5" max="5" width="12.42578125" style="11" customWidth="1"/>
    <col min="6" max="6" width="14.140625" style="11" customWidth="1"/>
    <col min="7" max="7" width="16.7109375" style="11" bestFit="1" customWidth="1"/>
    <col min="8" max="8" width="16.140625" style="11" customWidth="1"/>
    <col min="9" max="9" width="14.42578125" style="11" customWidth="1"/>
    <col min="10" max="10" width="12.85546875" style="11" customWidth="1"/>
    <col min="11" max="11" width="9.28515625" style="11" bestFit="1" customWidth="1"/>
    <col min="12" max="16384" width="9.140625" style="11"/>
  </cols>
  <sheetData>
    <row r="2" spans="1:12">
      <c r="A2" s="14"/>
      <c r="B2" s="53" t="s">
        <v>35</v>
      </c>
      <c r="C2" s="46" t="s">
        <v>36</v>
      </c>
      <c r="D2" s="46" t="s">
        <v>37</v>
      </c>
      <c r="E2" s="46" t="s">
        <v>42</v>
      </c>
      <c r="F2" s="46" t="s">
        <v>43</v>
      </c>
      <c r="G2" s="46" t="s">
        <v>39</v>
      </c>
      <c r="H2" s="46" t="s">
        <v>38</v>
      </c>
      <c r="I2" s="46" t="s">
        <v>73</v>
      </c>
      <c r="J2" s="46" t="s">
        <v>74</v>
      </c>
      <c r="K2" s="46" t="s">
        <v>44</v>
      </c>
    </row>
    <row r="3" spans="1:12">
      <c r="A3" s="65" t="s">
        <v>35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4</v>
      </c>
      <c r="I3" s="15">
        <v>4</v>
      </c>
      <c r="J3" s="15">
        <v>4</v>
      </c>
      <c r="K3" s="2">
        <v>5</v>
      </c>
    </row>
    <row r="4" spans="1:12">
      <c r="A4" s="49" t="s">
        <v>36</v>
      </c>
      <c r="B4" s="15" cm="1">
        <f t="array" ref="B4:B12">1/TRANSPOSE($C$3:$K$3)</f>
        <v>0.5</v>
      </c>
      <c r="C4" s="15">
        <v>1</v>
      </c>
      <c r="D4" s="15">
        <v>2</v>
      </c>
      <c r="E4" s="15">
        <v>3</v>
      </c>
      <c r="F4" s="15">
        <v>4</v>
      </c>
      <c r="G4" s="15">
        <v>5</v>
      </c>
      <c r="H4" s="15">
        <v>6</v>
      </c>
      <c r="I4" s="15">
        <v>4</v>
      </c>
      <c r="J4" s="15">
        <v>4</v>
      </c>
      <c r="K4" s="2">
        <v>5</v>
      </c>
    </row>
    <row r="5" spans="1:12">
      <c r="A5" s="49" t="s">
        <v>37</v>
      </c>
      <c r="B5" s="15">
        <v>0.33333333333333331</v>
      </c>
      <c r="C5" s="15" cm="1">
        <f t="array" ref="C5:C12">1/TRANSPOSE($D$4:$K$4)</f>
        <v>0.5</v>
      </c>
      <c r="D5" s="15">
        <v>1</v>
      </c>
      <c r="E5" s="15">
        <v>2</v>
      </c>
      <c r="F5" s="15">
        <v>3</v>
      </c>
      <c r="G5" s="15">
        <v>4</v>
      </c>
      <c r="H5" s="15">
        <v>5</v>
      </c>
      <c r="I5" s="15">
        <v>3</v>
      </c>
      <c r="J5" s="15">
        <v>3</v>
      </c>
      <c r="K5" s="2">
        <v>4</v>
      </c>
    </row>
    <row r="6" spans="1:12">
      <c r="A6" s="49" t="s">
        <v>42</v>
      </c>
      <c r="B6" s="15">
        <v>0.25</v>
      </c>
      <c r="C6" s="15">
        <v>0.33333333333333331</v>
      </c>
      <c r="D6" s="15" cm="1">
        <f t="array" ref="D6:D12">1/TRANSPOSE($E$5:$K$5)</f>
        <v>0.5</v>
      </c>
      <c r="E6" s="15">
        <v>1</v>
      </c>
      <c r="F6" s="15">
        <v>2</v>
      </c>
      <c r="G6" s="15">
        <v>3</v>
      </c>
      <c r="H6" s="15">
        <v>4</v>
      </c>
      <c r="I6" s="15">
        <v>5</v>
      </c>
      <c r="J6" s="15">
        <v>5</v>
      </c>
      <c r="K6" s="2">
        <v>6</v>
      </c>
    </row>
    <row r="7" spans="1:12">
      <c r="A7" s="49" t="s">
        <v>43</v>
      </c>
      <c r="B7" s="15">
        <v>0.2</v>
      </c>
      <c r="C7" s="15">
        <v>0.25</v>
      </c>
      <c r="D7" s="15">
        <v>0.33333333333333331</v>
      </c>
      <c r="E7" s="15" cm="1">
        <f t="array" ref="E7:E12">1/TRANSPOSE($F$6:$K$6)</f>
        <v>0.5</v>
      </c>
      <c r="F7" s="15">
        <v>1</v>
      </c>
      <c r="G7" s="15">
        <v>2</v>
      </c>
      <c r="H7" s="15">
        <v>3</v>
      </c>
      <c r="I7" s="15">
        <v>4</v>
      </c>
      <c r="J7" s="15">
        <v>4</v>
      </c>
      <c r="K7" s="2">
        <v>5</v>
      </c>
    </row>
    <row r="8" spans="1:12">
      <c r="A8" s="49" t="s">
        <v>39</v>
      </c>
      <c r="B8" s="15">
        <v>0.16666666666666666</v>
      </c>
      <c r="C8" s="15">
        <v>0.2</v>
      </c>
      <c r="D8" s="15">
        <v>0.25</v>
      </c>
      <c r="E8" s="15">
        <v>0.33333333333333331</v>
      </c>
      <c r="F8" s="15" cm="1">
        <f t="array" ref="F8:F12">1/TRANSPOSE($G$7:$K$7)</f>
        <v>0.5</v>
      </c>
      <c r="G8" s="15">
        <v>1</v>
      </c>
      <c r="H8" s="15">
        <v>2</v>
      </c>
      <c r="I8" s="15">
        <v>3</v>
      </c>
      <c r="J8" s="15">
        <v>3</v>
      </c>
      <c r="K8" s="2">
        <v>4</v>
      </c>
    </row>
    <row r="9" spans="1:12">
      <c r="A9" s="49" t="s">
        <v>38</v>
      </c>
      <c r="B9" s="15">
        <v>0.25</v>
      </c>
      <c r="C9" s="15">
        <v>0.16666666666666666</v>
      </c>
      <c r="D9" s="15">
        <v>0.2</v>
      </c>
      <c r="E9" s="15">
        <v>0.25</v>
      </c>
      <c r="F9" s="15">
        <v>0.33333333333333331</v>
      </c>
      <c r="G9" s="15" cm="1">
        <f t="array" ref="G9:G12">1/TRANSPOSE($H$8:$K$8)</f>
        <v>0.5</v>
      </c>
      <c r="H9" s="15">
        <v>1</v>
      </c>
      <c r="I9" s="15">
        <v>2</v>
      </c>
      <c r="J9" s="15">
        <v>2</v>
      </c>
      <c r="K9" s="2">
        <v>3</v>
      </c>
    </row>
    <row r="10" spans="1:12">
      <c r="A10" s="49" t="s">
        <v>73</v>
      </c>
      <c r="B10" s="15">
        <v>0.25</v>
      </c>
      <c r="C10" s="15">
        <v>0.25</v>
      </c>
      <c r="D10" s="15">
        <v>0.33333333333333331</v>
      </c>
      <c r="E10" s="15">
        <v>0.2</v>
      </c>
      <c r="F10" s="15">
        <v>0.25</v>
      </c>
      <c r="G10" s="15">
        <v>0.33333333333333331</v>
      </c>
      <c r="H10" s="15" cm="1">
        <f t="array" ref="H10:H12">1/TRANSPOSE($I$9:$K$9)</f>
        <v>0.5</v>
      </c>
      <c r="I10" s="15">
        <v>1</v>
      </c>
      <c r="J10" s="15">
        <v>1</v>
      </c>
      <c r="K10" s="2">
        <v>2</v>
      </c>
    </row>
    <row r="11" spans="1:12">
      <c r="A11" s="49" t="s">
        <v>74</v>
      </c>
      <c r="B11" s="15">
        <v>0.25</v>
      </c>
      <c r="C11" s="15">
        <v>0.25</v>
      </c>
      <c r="D11" s="15">
        <v>0.33333333333333331</v>
      </c>
      <c r="E11" s="15">
        <v>0.2</v>
      </c>
      <c r="F11" s="15">
        <v>0.25</v>
      </c>
      <c r="G11" s="15">
        <v>0.33333333333333331</v>
      </c>
      <c r="H11" s="15">
        <v>0.5</v>
      </c>
      <c r="I11" s="15" cm="1">
        <f t="array" ref="I11:I12">1/TRANSPOSE($J$10:$K$10)</f>
        <v>1</v>
      </c>
      <c r="J11" s="15">
        <v>1</v>
      </c>
      <c r="K11" s="2">
        <v>2</v>
      </c>
    </row>
    <row r="12" spans="1:12">
      <c r="A12" s="54" t="s">
        <v>44</v>
      </c>
      <c r="B12" s="17">
        <v>0.2</v>
      </c>
      <c r="C12" s="17">
        <v>0.2</v>
      </c>
      <c r="D12" s="17">
        <v>0.25</v>
      </c>
      <c r="E12" s="17">
        <v>0.16666666666666666</v>
      </c>
      <c r="F12" s="17">
        <v>0.2</v>
      </c>
      <c r="G12" s="17">
        <v>0.25</v>
      </c>
      <c r="H12" s="17">
        <v>0.33333333333333331</v>
      </c>
      <c r="I12" s="17">
        <v>0.5</v>
      </c>
      <c r="J12" s="17" cm="1">
        <f t="array" ref="J12">1/TRANSPOSE($K$11:$K11)</f>
        <v>0.5</v>
      </c>
      <c r="K12" s="18">
        <v>1</v>
      </c>
    </row>
    <row r="13" spans="1:12">
      <c r="A13" s="55" t="s">
        <v>75</v>
      </c>
      <c r="B13" s="23">
        <f>SUM(B3:B12)</f>
        <v>3.4</v>
      </c>
      <c r="C13" s="23">
        <f>SUM(C3:C12)</f>
        <v>5.1500000000000012</v>
      </c>
      <c r="D13" s="23">
        <f>SUM(D3:D12)</f>
        <v>8.1999999999999993</v>
      </c>
      <c r="E13" s="23">
        <f>SUM(E3:E12)</f>
        <v>11.649999999999999</v>
      </c>
      <c r="F13" s="16">
        <f>SUM(F3:F12)</f>
        <v>16.533333333333335</v>
      </c>
      <c r="G13" s="23">
        <f>SUM(G3:G12)</f>
        <v>22.416666666666664</v>
      </c>
      <c r="H13" s="23">
        <f>SUM(H3:H12)</f>
        <v>26.333333333333332</v>
      </c>
      <c r="I13" s="23">
        <f t="shared" ref="I13" si="0">SUM(I3:I12)</f>
        <v>27.5</v>
      </c>
      <c r="J13" s="23">
        <f t="shared" ref="J13" si="1">SUM(J3:J12)</f>
        <v>27.5</v>
      </c>
      <c r="K13" s="23">
        <f>SUM(K3:K12)</f>
        <v>37</v>
      </c>
    </row>
    <row r="14" spans="1:12">
      <c r="A14" s="10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2">
      <c r="A15" s="76" t="s">
        <v>76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</row>
    <row r="16" spans="1:12">
      <c r="A16" s="1"/>
      <c r="B16" s="46" t="s">
        <v>35</v>
      </c>
      <c r="C16" s="46" t="s">
        <v>36</v>
      </c>
      <c r="D16" s="46" t="s">
        <v>37</v>
      </c>
      <c r="E16" s="46" t="s">
        <v>42</v>
      </c>
      <c r="F16" s="46" t="s">
        <v>43</v>
      </c>
      <c r="G16" s="46" t="s">
        <v>39</v>
      </c>
      <c r="H16" s="46" t="s">
        <v>38</v>
      </c>
      <c r="I16" s="46" t="s">
        <v>73</v>
      </c>
      <c r="J16" s="46" t="s">
        <v>74</v>
      </c>
      <c r="K16" s="46" t="s">
        <v>44</v>
      </c>
      <c r="L16" s="46" t="s">
        <v>77</v>
      </c>
    </row>
    <row r="17" spans="1:13">
      <c r="A17" s="47" t="s">
        <v>35</v>
      </c>
      <c r="B17" s="15">
        <f>B3/B$13</f>
        <v>0.29411764705882354</v>
      </c>
      <c r="C17" s="15">
        <f>C3/C$13</f>
        <v>0.38834951456310668</v>
      </c>
      <c r="D17" s="15">
        <f>D3/D$13</f>
        <v>0.36585365853658541</v>
      </c>
      <c r="E17" s="15">
        <f>E3/E$13</f>
        <v>0.3433476394849786</v>
      </c>
      <c r="F17" s="15">
        <f>F3/F$13</f>
        <v>0.30241935483870963</v>
      </c>
      <c r="G17" s="15">
        <f>G3/G$13</f>
        <v>0.26765799256505579</v>
      </c>
      <c r="H17" s="15">
        <f>H3/H$13</f>
        <v>0.15189873417721519</v>
      </c>
      <c r="I17" s="15">
        <f>I3/I$13</f>
        <v>0.14545454545454545</v>
      </c>
      <c r="J17" s="15">
        <f>J3/J$13</f>
        <v>0.14545454545454545</v>
      </c>
      <c r="K17" s="20">
        <f>K3/K$13</f>
        <v>0.13513513513513514</v>
      </c>
      <c r="L17" s="14">
        <f>AVERAGE(B17:K17)</f>
        <v>0.25396887672687007</v>
      </c>
    </row>
    <row r="18" spans="1:13">
      <c r="A18" s="47" t="s">
        <v>36</v>
      </c>
      <c r="B18" s="15">
        <f t="shared" ref="B18:K26" si="2">B4/B$13</f>
        <v>0.14705882352941177</v>
      </c>
      <c r="C18" s="15">
        <f t="shared" si="2"/>
        <v>0.19417475728155334</v>
      </c>
      <c r="D18" s="15">
        <f t="shared" si="2"/>
        <v>0.24390243902439027</v>
      </c>
      <c r="E18" s="15">
        <f t="shared" si="2"/>
        <v>0.25751072961373395</v>
      </c>
      <c r="F18" s="15">
        <f t="shared" si="2"/>
        <v>0.24193548387096772</v>
      </c>
      <c r="G18" s="15">
        <f t="shared" si="2"/>
        <v>0.22304832713754649</v>
      </c>
      <c r="H18" s="15">
        <f t="shared" si="2"/>
        <v>0.22784810126582281</v>
      </c>
      <c r="I18" s="15">
        <f t="shared" si="2"/>
        <v>0.14545454545454545</v>
      </c>
      <c r="J18" s="15">
        <f t="shared" si="2"/>
        <v>0.14545454545454545</v>
      </c>
      <c r="K18" s="20">
        <f t="shared" si="2"/>
        <v>0.13513513513513514</v>
      </c>
      <c r="L18" s="14">
        <f t="shared" ref="L18:L27" si="3">AVERAGE(B18:K18)</f>
        <v>0.19615228877676524</v>
      </c>
    </row>
    <row r="19" spans="1:13">
      <c r="A19" s="47" t="s">
        <v>37</v>
      </c>
      <c r="B19" s="15">
        <f t="shared" si="2"/>
        <v>9.8039215686274508E-2</v>
      </c>
      <c r="C19" s="15">
        <f t="shared" si="2"/>
        <v>9.708737864077667E-2</v>
      </c>
      <c r="D19" s="15">
        <f t="shared" si="2"/>
        <v>0.12195121951219513</v>
      </c>
      <c r="E19" s="15">
        <f t="shared" si="2"/>
        <v>0.1716738197424893</v>
      </c>
      <c r="F19" s="15">
        <f t="shared" si="2"/>
        <v>0.18145161290322578</v>
      </c>
      <c r="G19" s="15">
        <f t="shared" si="2"/>
        <v>0.17843866171003719</v>
      </c>
      <c r="H19" s="15">
        <f t="shared" si="2"/>
        <v>0.189873417721519</v>
      </c>
      <c r="I19" s="15">
        <f t="shared" si="2"/>
        <v>0.10909090909090909</v>
      </c>
      <c r="J19" s="15">
        <f t="shared" si="2"/>
        <v>0.10909090909090909</v>
      </c>
      <c r="K19" s="20">
        <f t="shared" si="2"/>
        <v>0.10810810810810811</v>
      </c>
      <c r="L19" s="14">
        <f t="shared" si="3"/>
        <v>0.13648052522064441</v>
      </c>
    </row>
    <row r="20" spans="1:13">
      <c r="A20" s="47" t="s">
        <v>42</v>
      </c>
      <c r="B20" s="2">
        <f>B6/B$13</f>
        <v>7.3529411764705885E-2</v>
      </c>
      <c r="C20" s="2">
        <f t="shared" si="2"/>
        <v>6.4724919093851113E-2</v>
      </c>
      <c r="D20" s="2">
        <f t="shared" si="2"/>
        <v>6.0975609756097567E-2</v>
      </c>
      <c r="E20" s="2">
        <f t="shared" si="2"/>
        <v>8.5836909871244649E-2</v>
      </c>
      <c r="F20" s="15">
        <f t="shared" si="2"/>
        <v>0.12096774193548386</v>
      </c>
      <c r="G20" s="15">
        <f t="shared" si="2"/>
        <v>0.1338289962825279</v>
      </c>
      <c r="H20" s="15">
        <f t="shared" si="2"/>
        <v>0.15189873417721519</v>
      </c>
      <c r="I20" s="15">
        <f t="shared" si="2"/>
        <v>0.18181818181818182</v>
      </c>
      <c r="J20" s="15">
        <f t="shared" si="2"/>
        <v>0.18181818181818182</v>
      </c>
      <c r="K20" s="20">
        <f t="shared" si="2"/>
        <v>0.16216216216216217</v>
      </c>
      <c r="L20" s="14">
        <f t="shared" si="3"/>
        <v>0.12175608486796521</v>
      </c>
      <c r="M20" s="10"/>
    </row>
    <row r="21" spans="1:13">
      <c r="A21" s="47" t="s">
        <v>43</v>
      </c>
      <c r="B21" s="2">
        <f t="shared" si="2"/>
        <v>5.8823529411764712E-2</v>
      </c>
      <c r="C21" s="2">
        <f t="shared" si="2"/>
        <v>4.8543689320388335E-2</v>
      </c>
      <c r="D21" s="2">
        <f t="shared" si="2"/>
        <v>4.065040650406504E-2</v>
      </c>
      <c r="E21" s="2">
        <f t="shared" si="2"/>
        <v>4.2918454935622324E-2</v>
      </c>
      <c r="F21" s="2">
        <f t="shared" si="2"/>
        <v>6.048387096774193E-2</v>
      </c>
      <c r="G21" s="2">
        <f t="shared" si="2"/>
        <v>8.9219330855018597E-2</v>
      </c>
      <c r="H21" s="15">
        <f t="shared" si="2"/>
        <v>0.1139240506329114</v>
      </c>
      <c r="I21" s="15">
        <f t="shared" si="2"/>
        <v>0.14545454545454545</v>
      </c>
      <c r="J21" s="15">
        <f t="shared" si="2"/>
        <v>0.14545454545454545</v>
      </c>
      <c r="K21" s="20">
        <f t="shared" si="2"/>
        <v>0.13513513513513514</v>
      </c>
      <c r="L21" s="14">
        <f t="shared" si="3"/>
        <v>8.8060755867173837E-2</v>
      </c>
      <c r="M21" s="12"/>
    </row>
    <row r="22" spans="1:13">
      <c r="A22" s="47" t="s">
        <v>39</v>
      </c>
      <c r="B22" s="2">
        <f t="shared" si="2"/>
        <v>4.9019607843137254E-2</v>
      </c>
      <c r="C22" s="2">
        <f t="shared" si="2"/>
        <v>3.8834951456310669E-2</v>
      </c>
      <c r="D22" s="2">
        <f t="shared" si="2"/>
        <v>3.0487804878048783E-2</v>
      </c>
      <c r="E22" s="2">
        <f t="shared" si="2"/>
        <v>2.8612303290414882E-2</v>
      </c>
      <c r="F22" s="2">
        <f t="shared" si="2"/>
        <v>3.0241935483870965E-2</v>
      </c>
      <c r="G22" s="2">
        <f t="shared" si="2"/>
        <v>4.4609665427509299E-2</v>
      </c>
      <c r="H22" s="2">
        <f t="shared" si="2"/>
        <v>7.5949367088607597E-2</v>
      </c>
      <c r="I22" s="2">
        <f t="shared" si="2"/>
        <v>0.10909090909090909</v>
      </c>
      <c r="J22" s="2">
        <f t="shared" si="2"/>
        <v>0.10909090909090909</v>
      </c>
      <c r="K22" s="22">
        <f t="shared" si="2"/>
        <v>0.10810810810810811</v>
      </c>
      <c r="L22" s="14">
        <f t="shared" si="3"/>
        <v>6.2404556175782576E-2</v>
      </c>
      <c r="M22" s="12"/>
    </row>
    <row r="23" spans="1:13">
      <c r="A23" s="47" t="s">
        <v>38</v>
      </c>
      <c r="B23" s="2">
        <f t="shared" si="2"/>
        <v>7.3529411764705885E-2</v>
      </c>
      <c r="C23" s="2">
        <f t="shared" si="2"/>
        <v>3.2362459546925557E-2</v>
      </c>
      <c r="D23" s="2">
        <f t="shared" si="2"/>
        <v>2.4390243902439029E-2</v>
      </c>
      <c r="E23" s="2">
        <f t="shared" si="2"/>
        <v>2.1459227467811162E-2</v>
      </c>
      <c r="F23" s="2">
        <f t="shared" si="2"/>
        <v>2.0161290322580641E-2</v>
      </c>
      <c r="G23" s="2">
        <f t="shared" si="2"/>
        <v>2.2304832713754649E-2</v>
      </c>
      <c r="H23" s="2">
        <f t="shared" si="2"/>
        <v>3.7974683544303799E-2</v>
      </c>
      <c r="I23" s="2">
        <f t="shared" si="2"/>
        <v>7.2727272727272724E-2</v>
      </c>
      <c r="J23" s="2">
        <f t="shared" si="2"/>
        <v>7.2727272727272724E-2</v>
      </c>
      <c r="K23" s="22">
        <f t="shared" si="2"/>
        <v>8.1081081081081086E-2</v>
      </c>
      <c r="L23" s="14">
        <f t="shared" si="3"/>
        <v>4.5871777579814726E-2</v>
      </c>
      <c r="M23" s="12"/>
    </row>
    <row r="24" spans="1:13">
      <c r="A24" s="47" t="s">
        <v>73</v>
      </c>
      <c r="B24" s="2">
        <f t="shared" si="2"/>
        <v>7.3529411764705885E-2</v>
      </c>
      <c r="C24" s="2">
        <f t="shared" si="2"/>
        <v>4.8543689320388335E-2</v>
      </c>
      <c r="D24" s="2">
        <f t="shared" si="2"/>
        <v>4.065040650406504E-2</v>
      </c>
      <c r="E24" s="2">
        <f t="shared" si="2"/>
        <v>1.716738197424893E-2</v>
      </c>
      <c r="F24" s="2">
        <f t="shared" si="2"/>
        <v>1.5120967741935483E-2</v>
      </c>
      <c r="G24" s="2">
        <f t="shared" si="2"/>
        <v>1.4869888475836432E-2</v>
      </c>
      <c r="H24" s="2">
        <f t="shared" si="2"/>
        <v>1.8987341772151899E-2</v>
      </c>
      <c r="I24" s="2">
        <f t="shared" si="2"/>
        <v>3.6363636363636362E-2</v>
      </c>
      <c r="J24" s="2">
        <f t="shared" si="2"/>
        <v>3.6363636363636362E-2</v>
      </c>
      <c r="K24" s="22">
        <f t="shared" si="2"/>
        <v>5.4054054054054057E-2</v>
      </c>
      <c r="L24" s="14">
        <f t="shared" si="3"/>
        <v>3.556504143346588E-2</v>
      </c>
      <c r="M24" s="12"/>
    </row>
    <row r="25" spans="1:13">
      <c r="A25" s="47" t="s">
        <v>74</v>
      </c>
      <c r="B25" s="2">
        <f t="shared" si="2"/>
        <v>7.3529411764705885E-2</v>
      </c>
      <c r="C25" s="2">
        <f t="shared" si="2"/>
        <v>4.8543689320388335E-2</v>
      </c>
      <c r="D25" s="2">
        <f t="shared" si="2"/>
        <v>4.065040650406504E-2</v>
      </c>
      <c r="E25" s="2">
        <f t="shared" si="2"/>
        <v>1.716738197424893E-2</v>
      </c>
      <c r="F25" s="2">
        <f t="shared" si="2"/>
        <v>1.5120967741935483E-2</v>
      </c>
      <c r="G25" s="2">
        <f t="shared" si="2"/>
        <v>1.4869888475836432E-2</v>
      </c>
      <c r="H25" s="2">
        <f t="shared" si="2"/>
        <v>1.8987341772151899E-2</v>
      </c>
      <c r="I25" s="2">
        <f t="shared" si="2"/>
        <v>3.6363636363636362E-2</v>
      </c>
      <c r="J25" s="2">
        <f t="shared" si="2"/>
        <v>3.6363636363636362E-2</v>
      </c>
      <c r="K25" s="22">
        <f t="shared" si="2"/>
        <v>5.4054054054054057E-2</v>
      </c>
      <c r="L25" s="14">
        <f t="shared" si="3"/>
        <v>3.556504143346588E-2</v>
      </c>
      <c r="M25" s="12"/>
    </row>
    <row r="26" spans="1:13">
      <c r="A26" s="47" t="s">
        <v>44</v>
      </c>
      <c r="B26" s="2">
        <f t="shared" si="2"/>
        <v>5.8823529411764712E-2</v>
      </c>
      <c r="C26" s="2">
        <f t="shared" si="2"/>
        <v>3.8834951456310669E-2</v>
      </c>
      <c r="D26" s="2">
        <f t="shared" si="2"/>
        <v>3.0487804878048783E-2</v>
      </c>
      <c r="E26" s="2">
        <f t="shared" si="2"/>
        <v>1.4306151645207441E-2</v>
      </c>
      <c r="F26" s="2">
        <f t="shared" si="2"/>
        <v>1.2096774193548387E-2</v>
      </c>
      <c r="G26" s="2">
        <f t="shared" si="2"/>
        <v>1.1152416356877325E-2</v>
      </c>
      <c r="H26" s="2">
        <f t="shared" si="2"/>
        <v>1.2658227848101266E-2</v>
      </c>
      <c r="I26" s="2">
        <f t="shared" si="2"/>
        <v>1.8181818181818181E-2</v>
      </c>
      <c r="J26" s="2">
        <f t="shared" si="2"/>
        <v>1.8181818181818181E-2</v>
      </c>
      <c r="K26" s="22">
        <f t="shared" si="2"/>
        <v>2.7027027027027029E-2</v>
      </c>
      <c r="L26" s="14">
        <f t="shared" si="3"/>
        <v>2.41750519180522E-2</v>
      </c>
      <c r="M26" s="12"/>
    </row>
    <row r="27" spans="1:13">
      <c r="A27" s="47" t="s">
        <v>75</v>
      </c>
      <c r="B27" s="16">
        <f>SUM(B17:B26)</f>
        <v>0.99999999999999989</v>
      </c>
      <c r="C27" s="16">
        <f t="shared" ref="C27:K27" si="4">SUM(C17:C26)</f>
        <v>0.99999999999999967</v>
      </c>
      <c r="D27" s="16">
        <f t="shared" si="4"/>
        <v>1.0000000000000002</v>
      </c>
      <c r="E27" s="16">
        <f t="shared" si="4"/>
        <v>1.0000000000000002</v>
      </c>
      <c r="F27" s="16">
        <f t="shared" si="4"/>
        <v>0.99999999999999989</v>
      </c>
      <c r="G27" s="16">
        <f t="shared" si="4"/>
        <v>1</v>
      </c>
      <c r="H27" s="16">
        <f t="shared" si="4"/>
        <v>1</v>
      </c>
      <c r="I27" s="16">
        <f t="shared" si="4"/>
        <v>1</v>
      </c>
      <c r="J27" s="16">
        <f t="shared" si="4"/>
        <v>1</v>
      </c>
      <c r="K27" s="21">
        <f t="shared" si="4"/>
        <v>1</v>
      </c>
      <c r="L27" s="19">
        <f t="shared" si="3"/>
        <v>1</v>
      </c>
      <c r="M27" s="12"/>
    </row>
    <row r="28" spans="1:13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M28" s="12"/>
    </row>
    <row r="29" spans="1:13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M29" s="12"/>
    </row>
    <row r="30" spans="1:13">
      <c r="A30" s="24" t="s">
        <v>78</v>
      </c>
      <c r="B30"/>
      <c r="C30"/>
      <c r="K30" s="12"/>
      <c r="M30" s="12"/>
    </row>
    <row r="31" spans="1:13">
      <c r="B31" s="12"/>
    </row>
    <row r="32" spans="1:13">
      <c r="B32" s="12"/>
    </row>
    <row r="33" spans="1:9">
      <c r="A33" s="70" t="s">
        <v>79</v>
      </c>
      <c r="B33" s="71"/>
      <c r="C33" s="71"/>
      <c r="D33" s="71"/>
      <c r="E33" s="71"/>
      <c r="F33" s="71"/>
      <c r="G33" s="71"/>
      <c r="H33" s="71"/>
      <c r="I33" s="72"/>
    </row>
    <row r="34" spans="1:9">
      <c r="A34" s="57" t="s">
        <v>23</v>
      </c>
      <c r="B34" s="46" t="s">
        <v>80</v>
      </c>
      <c r="C34" s="46" t="s">
        <v>81</v>
      </c>
      <c r="D34" s="46" t="s">
        <v>13</v>
      </c>
      <c r="E34" s="46" t="s">
        <v>14</v>
      </c>
      <c r="F34" s="46" t="s">
        <v>82</v>
      </c>
      <c r="G34" s="46" t="s">
        <v>83</v>
      </c>
      <c r="H34" s="46" t="s">
        <v>84</v>
      </c>
      <c r="I34" s="73"/>
    </row>
    <row r="35" spans="1:9">
      <c r="A35" s="47" t="s">
        <v>11</v>
      </c>
      <c r="B35" s="23">
        <f>IF(Κανονικοποίηση!B$2=0, IF(Κανονικοποίηση!$B2=0, 1, 1/9), IF(Κανονικοποίηση!$B2=0, 9, MIN(MAX(Κανονικοποίηση!B$2/Κανονικοποίηση!$B2, 1/9), 9)))</f>
        <v>1</v>
      </c>
      <c r="C35" s="23">
        <f>IF(Κανονικοποίηση!C$2=0, IF(Κανονικοποίηση!$B2=0, 1, 1/9), IF(Κανονικοποίηση!$B2=0, 9, MIN(MAX(Κανονικοποίηση!C$2/Κανονικοποίηση!$B2, 1/9), 9)))</f>
        <v>1.3865546218487395</v>
      </c>
      <c r="D35" s="23">
        <f>IF(Κανονικοποίηση!D$2=0, IF(Κανονικοποίηση!$B2=0, 1, 1/9), IF(Κανονικοποίηση!$B2=0, 9, MIN(MAX(Κανονικοποίηση!D$2/Κανονικοποίηση!$B2, 1/9), 9)))</f>
        <v>1.4285714285714284</v>
      </c>
      <c r="E35" s="23">
        <f>IF(Κανονικοποίηση!E$2=0, IF(Κανονικοποίηση!$B2=0, 1, 1/9), IF(Κανονικοποίηση!$B2=0, 9, MIN(MAX(Κανονικοποίηση!E$2/Κανονικοποίηση!$B2, 1/9), 9)))</f>
        <v>1.4285714285714284</v>
      </c>
      <c r="F35" s="23">
        <f>IF(Κανονικοποίηση!F$2=0, IF(Κανονικοποίηση!$B2=0, 1, 1/9), IF(Κανονικοποίηση!$B2=0, 9, MIN(MAX(Κανονικοποίηση!F$2/Κανονικοποίηση!$B2, 1/9), 9)))</f>
        <v>0.1111111111111111</v>
      </c>
      <c r="G35" s="23">
        <f>IF(Κανονικοποίηση!G$2=0, IF(Κανονικοποίηση!$B2=0, 1, 1/9), IF(Κανονικοποίηση!$B2=0, 9, MIN(MAX(Κανονικοποίηση!G$2/Κανονικοποίηση!$B2, 1/9), 9)))</f>
        <v>1.875</v>
      </c>
      <c r="H35" s="23">
        <f>IF(Κανονικοποίηση!H$2=0, IF(Κανονικοποίηση!$B2=0, 1, 1/9), IF(Κανονικοποίηση!$B2=0, 9, MIN(MAX(Κανονικοποίηση!H$2/Κανονικοποίηση!$B2, 1/9), 9)))</f>
        <v>1.0714285714285714</v>
      </c>
      <c r="I35" s="74"/>
    </row>
    <row r="36" spans="1:9">
      <c r="A36" s="47" t="s">
        <v>12</v>
      </c>
      <c r="B36" s="23">
        <f>IF(Κανονικοποίηση!B$2=0, IF(Κανονικοποίηση!$B3=0, 1, 1/9), IF(Κανονικοποίηση!$B3=0, 9, MIN(MAX(Κανονικοποίηση!B$2/Κανονικοποίηση!$B3, 1/9), 9)))</f>
        <v>0.66666666666666674</v>
      </c>
      <c r="C36" s="23">
        <f>IF(Κανονικοποίηση!C$2=0, IF(Κανονικοποίηση!$B3=0, 1, 1/9), IF(Κανονικοποίηση!$B3=0, 9, MIN(MAX(Κανονικοποίηση!C$2/Κανονικοποίηση!$B3, 1/9), 9)))</f>
        <v>0.92436974789915982</v>
      </c>
      <c r="D36" s="23">
        <f>IF(Κανονικοποίηση!D$2=0, IF(Κανονικοποίηση!$B3=0, 1, 1/9), IF(Κανονικοποίηση!$B3=0, 9, MIN(MAX(Κανονικοποίηση!D$2/Κανονικοποίηση!$B3, 1/9), 9)))</f>
        <v>0.95238095238095244</v>
      </c>
      <c r="E36" s="23">
        <f>IF(Κανονικοποίηση!E$2=0, IF(Κανονικοποίηση!$B3=0, 1, 1/9), IF(Κανονικοποίηση!$B3=0, 9, MIN(MAX(Κανονικοποίηση!E$2/Κανονικοποίηση!$B3, 1/9), 9)))</f>
        <v>0.95238095238095244</v>
      </c>
      <c r="F36" s="23">
        <f>IF(Κανονικοποίηση!F$2=0, IF(Κανονικοποίηση!$B3=0, 1, 1/9), IF(Κανονικοποίηση!$B3=0, 9, MIN(MAX(Κανονικοποίηση!F$2/Κανονικοποίηση!$B3, 1/9), 9)))</f>
        <v>0.1111111111111111</v>
      </c>
      <c r="G36" s="23">
        <f>IF(Κανονικοποίηση!G$2=0, IF(Κανονικοποίηση!$B3=0, 1, 1/9), IF(Κανονικοποίηση!$B3=0, 9, MIN(MAX(Κανονικοποίηση!G$2/Κανονικοποίηση!$B3, 1/9), 9)))</f>
        <v>1.25</v>
      </c>
      <c r="H36" s="23">
        <f>IF(Κανονικοποίηση!H$2=0, IF(Κανονικοποίηση!$B3=0, 1, 1/9), IF(Κανονικοποίηση!$B3=0, 9, MIN(MAX(Κανονικοποίηση!H$2/Κανονικοποίηση!$B3, 1/9), 9)))</f>
        <v>0.7142857142857143</v>
      </c>
      <c r="I36" s="74"/>
    </row>
    <row r="37" spans="1:9">
      <c r="A37" s="47" t="s">
        <v>13</v>
      </c>
      <c r="B37" s="23">
        <f>IF(Κανονικοποίηση!B$2=0, IF(Κανονικοποίηση!$B4=0, 1, 1/9), IF(Κανονικοποίηση!$B4=0, 9, MIN(MAX(Κανονικοποίηση!B$2/Κανονικοποίηση!$B4, 1/9), 9)))</f>
        <v>0.58333333333333326</v>
      </c>
      <c r="C37" s="23">
        <f>IF(Κανονικοποίηση!C$2=0, IF(Κανονικοποίηση!$B4=0, 1, 1/9), IF(Κανονικοποίηση!$B4=0, 9, MIN(MAX(Κανονικοποίηση!C$2/Κανονικοποίηση!$B4, 1/9), 9)))</f>
        <v>0.80882352941176472</v>
      </c>
      <c r="D37" s="23">
        <f>IF(Κανονικοποίηση!D$2=0, IF(Κανονικοποίηση!$B4=0, 1, 1/9), IF(Κανονικοποίηση!$B4=0, 9, MIN(MAX(Κανονικοποίηση!D$2/Κανονικοποίηση!$B4, 1/9), 9)))</f>
        <v>0.83333333333333326</v>
      </c>
      <c r="E37" s="23">
        <f>IF(Κανονικοποίηση!E$2=0, IF(Κανονικοποίηση!$B4=0, 1, 1/9), IF(Κανονικοποίηση!$B4=0, 9, MIN(MAX(Κανονικοποίηση!E$2/Κανονικοποίηση!$B4, 1/9), 9)))</f>
        <v>0.83333333333333326</v>
      </c>
      <c r="F37" s="23">
        <f>IF(Κανονικοποίηση!F$2=0, IF(Κανονικοποίηση!$B4=0, 1, 1/9), IF(Κανονικοποίηση!$B4=0, 9, MIN(MAX(Κανονικοποίηση!F$2/Κανονικοποίηση!$B4, 1/9), 9)))</f>
        <v>0.1111111111111111</v>
      </c>
      <c r="G37" s="23">
        <f>IF(Κανονικοποίηση!G$2=0, IF(Κανονικοποίηση!$B4=0, 1, 1/9), IF(Κανονικοποίηση!$B4=0, 9, MIN(MAX(Κανονικοποίηση!G$2/Κανονικοποίηση!$B4, 1/9), 9)))</f>
        <v>1.09375</v>
      </c>
      <c r="H37" s="23">
        <f>IF(Κανονικοποίηση!H$2=0, IF(Κανονικοποίηση!$B4=0, 1, 1/9), IF(Κανονικοποίηση!$B4=0, 9, MIN(MAX(Κανονικοποίηση!H$2/Κανονικοποίηση!$B4, 1/9), 9)))</f>
        <v>0.625</v>
      </c>
      <c r="I37" s="74"/>
    </row>
    <row r="38" spans="1:9">
      <c r="A38" s="47" t="s">
        <v>14</v>
      </c>
      <c r="B38" s="23">
        <f>IF(Κανονικοποίηση!B$2=0, IF(Κανονικοποίηση!$B5=0, 1, 1/9), IF(Κανονικοποίηση!$B5=0, 9, MIN(MAX(Κανονικοποίηση!B$2/Κανονικοποίηση!$B5, 1/9), 9)))</f>
        <v>9</v>
      </c>
      <c r="C38" s="23">
        <f>IF(Κανονικοποίηση!C$2=0, IF(Κανονικοποίηση!$B5=0, 1, 1/9), IF(Κανονικοποίηση!$B5=0, 9, MIN(MAX(Κανονικοποίηση!C$2/Κανονικοποίηση!$B5, 1/9), 9)))</f>
        <v>9</v>
      </c>
      <c r="D38" s="23">
        <f>IF(Κανονικοποίηση!D$2=0, IF(Κανονικοποίηση!$B5=0, 1, 1/9), IF(Κανονικοποίηση!$B5=0, 9, MIN(MAX(Κανονικοποίηση!D$2/Κανονικοποίηση!$B5, 1/9), 9)))</f>
        <v>9</v>
      </c>
      <c r="E38" s="23">
        <f>IF(Κανονικοποίηση!E$2=0, IF(Κανονικοποίηση!$B5=0, 1, 1/9), IF(Κανονικοποίηση!$B5=0, 9, MIN(MAX(Κανονικοποίηση!E$2/Κανονικοποίηση!$B5, 1/9), 9)))</f>
        <v>9</v>
      </c>
      <c r="F38" s="23">
        <f>IF(Κανονικοποίηση!F$2=0, IF(Κανονικοποίηση!$B5=0, 1, 1/9), IF(Κανονικοποίηση!$B5=0, 9, MIN(MAX(Κανονικοποίηση!F$2/Κανονικοποίηση!$B5, 1/9), 9)))</f>
        <v>1</v>
      </c>
      <c r="G38" s="23">
        <f>IF(Κανονικοποίηση!G$2=0, IF(Κανονικοποίηση!$B5=0, 1, 1/9), IF(Κανονικοποίηση!$B5=0, 9, MIN(MAX(Κανονικοποίηση!G$2/Κανονικοποίηση!$B5, 1/9), 9)))</f>
        <v>9</v>
      </c>
      <c r="H38" s="23">
        <f>IF(Κανονικοποίηση!H$2=0, IF(Κανονικοποίηση!$B5=0, 1, 1/9), IF(Κανονικοποίηση!$B5=0, 9, MIN(MAX(Κανονικοποίηση!H$2/Κανονικοποίηση!$B5, 1/9), 9)))</f>
        <v>9</v>
      </c>
      <c r="I38" s="74"/>
    </row>
    <row r="39" spans="1:9">
      <c r="A39" s="47" t="s">
        <v>15</v>
      </c>
      <c r="B39" s="23">
        <f>IF(Κανονικοποίηση!B$2=0, IF(Κανονικοποίηση!$B6=0, 1, 1/9), IF(Κανονικοποίηση!$B6=0, 9, MIN(MAX(Κανονικοποίηση!B$2/Κανονικοποίηση!$B6, 1/9), 9)))</f>
        <v>0.46666666666666667</v>
      </c>
      <c r="C39" s="23">
        <f>IF(Κανονικοποίηση!C$2=0, IF(Κανονικοποίηση!$B6=0, 1, 1/9), IF(Κανονικοποίηση!$B6=0, 9, MIN(MAX(Κανονικοποίηση!C$2/Κανονικοποίηση!$B6, 1/9), 9)))</f>
        <v>0.6470588235294118</v>
      </c>
      <c r="D39" s="23">
        <f>IF(Κανονικοποίηση!D$2=0, IF(Κανονικοποίηση!$B6=0, 1, 1/9), IF(Κανονικοποίηση!$B6=0, 9, MIN(MAX(Κανονικοποίηση!D$2/Κανονικοποίηση!$B6, 1/9), 9)))</f>
        <v>0.66666666666666663</v>
      </c>
      <c r="E39" s="23">
        <f>IF(Κανονικοποίηση!E$2=0, IF(Κανονικοποίηση!$B6=0, 1, 1/9), IF(Κανονικοποίηση!$B6=0, 9, MIN(MAX(Κανονικοποίηση!E$2/Κανονικοποίηση!$B6, 1/9), 9)))</f>
        <v>0.66666666666666663</v>
      </c>
      <c r="F39" s="23">
        <f>IF(Κανονικοποίηση!F$2=0, IF(Κανονικοποίηση!$B6=0, 1, 1/9), IF(Κανονικοποίηση!$B6=0, 9, MIN(MAX(Κανονικοποίηση!F$2/Κανονικοποίηση!$B6, 1/9), 9)))</f>
        <v>0.1111111111111111</v>
      </c>
      <c r="G39" s="23">
        <f>IF(Κανονικοποίηση!G$2=0, IF(Κανονικοποίηση!$B6=0, 1, 1/9), IF(Κανονικοποίηση!$B6=0, 9, MIN(MAX(Κανονικοποίηση!G$2/Κανονικοποίηση!$B6, 1/9), 9)))</f>
        <v>0.875</v>
      </c>
      <c r="H39" s="23">
        <f>IF(Κανονικοποίηση!H$2=0, IF(Κανονικοποίηση!$B6=0, 1, 1/9), IF(Κανονικοποίηση!$B6=0, 9, MIN(MAX(Κανονικοποίηση!H$2/Κανονικοποίηση!$B6, 1/9), 9)))</f>
        <v>0.5</v>
      </c>
      <c r="I39" s="74"/>
    </row>
    <row r="40" spans="1:9">
      <c r="A40" s="47" t="s">
        <v>16</v>
      </c>
      <c r="B40" s="23">
        <f>IF(Κανονικοποίηση!B$2=0, IF(Κανονικοποίηση!$B7=0, 1, 1/9), IF(Κανονικοποίηση!$B7=0, 9, MIN(MAX(Κανονικοποίηση!B$2/Κανονικοποίηση!$B7, 1/9), 9)))</f>
        <v>2</v>
      </c>
      <c r="C40" s="23">
        <f>IF(Κανονικοποίηση!C$2=0, IF(Κανονικοποίηση!$B7=0, 1, 1/9), IF(Κανονικοποίηση!$B7=0, 9, MIN(MAX(Κανονικοποίηση!C$2/Κανονικοποίηση!$B7, 1/9), 9)))</f>
        <v>2.7731092436974789</v>
      </c>
      <c r="D40" s="23">
        <f>IF(Κανονικοποίηση!D$2=0, IF(Κανονικοποίηση!$B7=0, 1, 1/9), IF(Κανονικοποίηση!$B7=0, 9, MIN(MAX(Κανονικοποίηση!D$2/Κανονικοποίηση!$B7, 1/9), 9)))</f>
        <v>2.8571428571428568</v>
      </c>
      <c r="E40" s="23">
        <f>IF(Κανονικοποίηση!E$2=0, IF(Κανονικοποίηση!$B7=0, 1, 1/9), IF(Κανονικοποίηση!$B7=0, 9, MIN(MAX(Κανονικοποίηση!E$2/Κανονικοποίηση!$B7, 1/9), 9)))</f>
        <v>2.8571428571428568</v>
      </c>
      <c r="F40" s="23">
        <f>IF(Κανονικοποίηση!F$2=0, IF(Κανονικοποίηση!$B7=0, 1, 1/9), IF(Κανονικοποίηση!$B7=0, 9, MIN(MAX(Κανονικοποίηση!F$2/Κανονικοποίηση!$B7, 1/9), 9)))</f>
        <v>0.1111111111111111</v>
      </c>
      <c r="G40" s="23">
        <f>IF(Κανονικοποίηση!G$2=0, IF(Κανονικοποίηση!$B7=0, 1, 1/9), IF(Κανονικοποίηση!$B7=0, 9, MIN(MAX(Κανονικοποίηση!G$2/Κανονικοποίηση!$B7, 1/9), 9)))</f>
        <v>3.75</v>
      </c>
      <c r="H40" s="23">
        <f>IF(Κανονικοποίηση!H$2=0, IF(Κανονικοποίηση!$B7=0, 1, 1/9), IF(Κανονικοποίηση!$B7=0, 9, MIN(MAX(Κανονικοποίηση!H$2/Κανονικοποίηση!$B7, 1/9), 9)))</f>
        <v>2.1428571428571428</v>
      </c>
      <c r="I40" s="74"/>
    </row>
    <row r="41" spans="1:9">
      <c r="A41" s="47" t="s">
        <v>17</v>
      </c>
      <c r="B41" s="23">
        <f>IF(Κανονικοποίηση!B$2=0, IF(Κανονικοποίηση!$B8=0, 1, 1/9), IF(Κανονικοποίηση!$B8=0, 9, MIN(MAX(Κανονικοποίηση!B$2/Κανονικοποίηση!$B8, 1/9), 9)))</f>
        <v>0.51851851851851849</v>
      </c>
      <c r="C41" s="23">
        <f>IF(Κανονικοποίηση!C$2=0, IF(Κανονικοποίηση!$B8=0, 1, 1/9), IF(Κανονικοποίηση!$B8=0, 9, MIN(MAX(Κανονικοποίηση!C$2/Κανονικοποίηση!$B8, 1/9), 9)))</f>
        <v>0.71895424836601307</v>
      </c>
      <c r="D41" s="23">
        <f>IF(Κανονικοποίηση!D$2=0, IF(Κανονικοποίηση!$B8=0, 1, 1/9), IF(Κανονικοποίηση!$B8=0, 9, MIN(MAX(Κανονικοποίηση!D$2/Κανονικοποίηση!$B8, 1/9), 9)))</f>
        <v>0.7407407407407407</v>
      </c>
      <c r="E41" s="23">
        <f>IF(Κανονικοποίηση!E$2=0, IF(Κανονικοποίηση!$B8=0, 1, 1/9), IF(Κανονικοποίηση!$B8=0, 9, MIN(MAX(Κανονικοποίηση!E$2/Κανονικοποίηση!$B8, 1/9), 9)))</f>
        <v>0.7407407407407407</v>
      </c>
      <c r="F41" s="23">
        <f>IF(Κανονικοποίηση!F$2=0, IF(Κανονικοποίηση!$B8=0, 1, 1/9), IF(Κανονικοποίηση!$B8=0, 9, MIN(MAX(Κανονικοποίηση!F$2/Κανονικοποίηση!$B8, 1/9), 9)))</f>
        <v>0.1111111111111111</v>
      </c>
      <c r="G41" s="23">
        <f>IF(Κανονικοποίηση!G$2=0, IF(Κανονικοποίηση!$B8=0, 1, 1/9), IF(Κανονικοποίηση!$B8=0, 9, MIN(MAX(Κανονικοποίηση!G$2/Κανονικοποίηση!$B8, 1/9), 9)))</f>
        <v>0.97222222222222221</v>
      </c>
      <c r="H41" s="23">
        <f>IF(Κανονικοποίηση!H$2=0, IF(Κανονικοποίηση!$B8=0, 1, 1/9), IF(Κανονικοποίηση!$B8=0, 9, MIN(MAX(Κανονικοποίηση!H$2/Κανονικοποίηση!$B8, 1/9), 9)))</f>
        <v>0.55555555555555558</v>
      </c>
      <c r="I41" s="74"/>
    </row>
    <row r="42" spans="1:9">
      <c r="A42" s="47" t="s">
        <v>75</v>
      </c>
      <c r="B42" s="14">
        <f>SUM(B35:B41)</f>
        <v>14.235185185185186</v>
      </c>
      <c r="C42" s="14">
        <f t="shared" ref="C42:H42" si="5">SUM(C35:C41)</f>
        <v>16.258870214752569</v>
      </c>
      <c r="D42" s="14">
        <f t="shared" si="5"/>
        <v>16.478835978835978</v>
      </c>
      <c r="E42" s="14">
        <f t="shared" si="5"/>
        <v>16.478835978835978</v>
      </c>
      <c r="F42" s="14">
        <f t="shared" si="5"/>
        <v>1.6666666666666667</v>
      </c>
      <c r="G42" s="14">
        <f t="shared" si="5"/>
        <v>18.815972222222221</v>
      </c>
      <c r="H42" s="14">
        <f t="shared" si="5"/>
        <v>14.609126984126982</v>
      </c>
      <c r="I42" s="75"/>
    </row>
    <row r="43" spans="1:9">
      <c r="A43" s="78"/>
      <c r="B43" s="79"/>
      <c r="C43" s="79"/>
      <c r="D43" s="79"/>
      <c r="E43" s="79"/>
      <c r="F43" s="79"/>
      <c r="G43" s="79"/>
      <c r="H43" s="79"/>
      <c r="I43" s="80"/>
    </row>
    <row r="44" spans="1:9">
      <c r="A44" s="77" t="s">
        <v>76</v>
      </c>
      <c r="B44" s="77"/>
      <c r="C44" s="77"/>
      <c r="D44" s="77"/>
      <c r="E44" s="77"/>
      <c r="F44" s="77"/>
      <c r="G44" s="77"/>
      <c r="H44" s="77"/>
      <c r="I44" s="77"/>
    </row>
    <row r="45" spans="1:9">
      <c r="A45" s="57" t="s">
        <v>23</v>
      </c>
      <c r="B45" s="56" t="s">
        <v>80</v>
      </c>
      <c r="C45" s="56" t="s">
        <v>81</v>
      </c>
      <c r="D45" s="56" t="s">
        <v>13</v>
      </c>
      <c r="E45" s="56" t="s">
        <v>14</v>
      </c>
      <c r="F45" s="56" t="s">
        <v>82</v>
      </c>
      <c r="G45" s="56" t="s">
        <v>83</v>
      </c>
      <c r="H45" s="56" t="s">
        <v>84</v>
      </c>
      <c r="I45" s="56" t="s">
        <v>77</v>
      </c>
    </row>
    <row r="46" spans="1:9">
      <c r="A46" s="47" t="s">
        <v>11</v>
      </c>
      <c r="B46" s="23">
        <f>(B35/B$42)</f>
        <v>7.024847144529725E-2</v>
      </c>
      <c r="C46" s="23">
        <f t="shared" ref="C46:H46" si="6">(C35/C$42)</f>
        <v>8.5279887442034075E-2</v>
      </c>
      <c r="D46" s="23">
        <f t="shared" si="6"/>
        <v>8.6691282709905282E-2</v>
      </c>
      <c r="E46" s="23">
        <f t="shared" si="6"/>
        <v>8.6691282709905282E-2</v>
      </c>
      <c r="F46" s="23">
        <f t="shared" si="6"/>
        <v>6.6666666666666666E-2</v>
      </c>
      <c r="G46" s="23">
        <f t="shared" si="6"/>
        <v>9.9649381804761031E-2</v>
      </c>
      <c r="H46" s="23">
        <f t="shared" si="6"/>
        <v>7.3339671329621089E-2</v>
      </c>
      <c r="I46" s="14">
        <f>AVERAGE(B46:H46)</f>
        <v>8.1223806301170084E-2</v>
      </c>
    </row>
    <row r="47" spans="1:9">
      <c r="A47" s="47" t="s">
        <v>12</v>
      </c>
      <c r="B47" s="23">
        <f t="shared" ref="B47:H52" si="7">(B36/B$42)</f>
        <v>4.6832314296864838E-2</v>
      </c>
      <c r="C47" s="23">
        <f t="shared" si="7"/>
        <v>5.6853258294689395E-2</v>
      </c>
      <c r="D47" s="23">
        <f t="shared" si="7"/>
        <v>5.7794188473270197E-2</v>
      </c>
      <c r="E47" s="23">
        <f t="shared" si="7"/>
        <v>5.7794188473270197E-2</v>
      </c>
      <c r="F47" s="23">
        <f t="shared" si="7"/>
        <v>6.6666666666666666E-2</v>
      </c>
      <c r="G47" s="23">
        <f t="shared" si="7"/>
        <v>6.6432921203174025E-2</v>
      </c>
      <c r="H47" s="23">
        <f t="shared" si="7"/>
        <v>4.8893114219747395E-2</v>
      </c>
      <c r="I47" s="14">
        <f t="shared" ref="I47:I52" si="8">AVERAGE(B47:H47)</f>
        <v>5.7323807375383243E-2</v>
      </c>
    </row>
    <row r="48" spans="1:9">
      <c r="A48" s="47" t="s">
        <v>13</v>
      </c>
      <c r="B48" s="23">
        <f t="shared" si="7"/>
        <v>4.0978275009756725E-2</v>
      </c>
      <c r="C48" s="23">
        <f t="shared" si="7"/>
        <v>4.9746601007853213E-2</v>
      </c>
      <c r="D48" s="23">
        <f t="shared" si="7"/>
        <v>5.0569914914111412E-2</v>
      </c>
      <c r="E48" s="23">
        <f t="shared" si="7"/>
        <v>5.0569914914111412E-2</v>
      </c>
      <c r="F48" s="23">
        <f t="shared" si="7"/>
        <v>6.6666666666666666E-2</v>
      </c>
      <c r="G48" s="23">
        <f t="shared" si="7"/>
        <v>5.8128806052777267E-2</v>
      </c>
      <c r="H48" s="23">
        <f t="shared" si="7"/>
        <v>4.278147494227897E-2</v>
      </c>
      <c r="I48" s="14">
        <f t="shared" si="8"/>
        <v>5.1348807643936518E-2</v>
      </c>
    </row>
    <row r="49" spans="1:9">
      <c r="A49" s="47" t="s">
        <v>14</v>
      </c>
      <c r="B49" s="23">
        <f t="shared" si="7"/>
        <v>0.63223624300767522</v>
      </c>
      <c r="C49" s="23">
        <f t="shared" si="7"/>
        <v>0.55354399666920295</v>
      </c>
      <c r="D49" s="23">
        <f t="shared" si="7"/>
        <v>0.54615508107240329</v>
      </c>
      <c r="E49" s="23">
        <f t="shared" si="7"/>
        <v>0.54615508107240329</v>
      </c>
      <c r="F49" s="23">
        <f t="shared" si="7"/>
        <v>0.6</v>
      </c>
      <c r="G49" s="23">
        <f t="shared" si="7"/>
        <v>0.47831703266285297</v>
      </c>
      <c r="H49" s="23">
        <f t="shared" si="7"/>
        <v>0.61605323916881716</v>
      </c>
      <c r="I49" s="14">
        <f t="shared" si="8"/>
        <v>0.5674943819504793</v>
      </c>
    </row>
    <row r="50" spans="1:9">
      <c r="A50" s="47" t="s">
        <v>15</v>
      </c>
      <c r="B50" s="23">
        <f t="shared" si="7"/>
        <v>3.2782620007805387E-2</v>
      </c>
      <c r="C50" s="23">
        <f t="shared" si="7"/>
        <v>3.9797280806282573E-2</v>
      </c>
      <c r="D50" s="23">
        <f t="shared" si="7"/>
        <v>4.045593193128913E-2</v>
      </c>
      <c r="E50" s="23">
        <f t="shared" si="7"/>
        <v>4.045593193128913E-2</v>
      </c>
      <c r="F50" s="23">
        <f t="shared" si="7"/>
        <v>6.6666666666666666E-2</v>
      </c>
      <c r="G50" s="23">
        <f t="shared" si="7"/>
        <v>4.6503044842221813E-2</v>
      </c>
      <c r="H50" s="23">
        <f t="shared" si="7"/>
        <v>3.4225179953823175E-2</v>
      </c>
      <c r="I50" s="14">
        <f t="shared" si="8"/>
        <v>4.2983808019911127E-2</v>
      </c>
    </row>
    <row r="51" spans="1:9">
      <c r="A51" s="47" t="s">
        <v>16</v>
      </c>
      <c r="B51" s="23">
        <f t="shared" si="7"/>
        <v>0.1404969428905945</v>
      </c>
      <c r="C51" s="23">
        <f t="shared" si="7"/>
        <v>0.17055977488406815</v>
      </c>
      <c r="D51" s="23">
        <f t="shared" si="7"/>
        <v>0.17338256541981056</v>
      </c>
      <c r="E51" s="23">
        <f t="shared" si="7"/>
        <v>0.17338256541981056</v>
      </c>
      <c r="F51" s="23">
        <f t="shared" si="7"/>
        <v>6.6666666666666666E-2</v>
      </c>
      <c r="G51" s="23">
        <f t="shared" si="7"/>
        <v>0.19929876360952206</v>
      </c>
      <c r="H51" s="23">
        <f t="shared" si="7"/>
        <v>0.14667934265924218</v>
      </c>
      <c r="I51" s="14">
        <f t="shared" si="8"/>
        <v>0.15292380307853065</v>
      </c>
    </row>
    <row r="52" spans="1:9">
      <c r="A52" s="47" t="s">
        <v>17</v>
      </c>
      <c r="B52" s="23">
        <f t="shared" si="7"/>
        <v>3.6425133342005978E-2</v>
      </c>
      <c r="C52" s="23">
        <f t="shared" si="7"/>
        <v>4.4219200895869518E-2</v>
      </c>
      <c r="D52" s="23">
        <f t="shared" si="7"/>
        <v>4.4951035479210144E-2</v>
      </c>
      <c r="E52" s="23">
        <f t="shared" si="7"/>
        <v>4.4951035479210144E-2</v>
      </c>
      <c r="F52" s="23">
        <f t="shared" si="7"/>
        <v>6.6666666666666666E-2</v>
      </c>
      <c r="G52" s="23">
        <f t="shared" si="7"/>
        <v>5.1670049824690902E-2</v>
      </c>
      <c r="H52" s="23">
        <f t="shared" si="7"/>
        <v>3.8027977726470194E-2</v>
      </c>
      <c r="I52" s="14">
        <f t="shared" si="8"/>
        <v>4.6701585630589078E-2</v>
      </c>
    </row>
    <row r="53" spans="1:9">
      <c r="A53" s="12"/>
      <c r="B53" s="12"/>
      <c r="C53" s="12"/>
    </row>
    <row r="55" spans="1:9">
      <c r="A55" s="70" t="s">
        <v>85</v>
      </c>
      <c r="B55" s="71"/>
      <c r="C55" s="71"/>
      <c r="D55" s="71"/>
      <c r="E55" s="71"/>
      <c r="F55" s="71"/>
      <c r="G55" s="71"/>
      <c r="H55" s="71"/>
      <c r="I55" s="72"/>
    </row>
    <row r="56" spans="1:9">
      <c r="A56" s="57" t="s">
        <v>23</v>
      </c>
      <c r="B56" s="56" t="s">
        <v>80</v>
      </c>
      <c r="C56" s="56" t="s">
        <v>81</v>
      </c>
      <c r="D56" s="56" t="s">
        <v>13</v>
      </c>
      <c r="E56" s="56" t="s">
        <v>14</v>
      </c>
      <c r="F56" s="56" t="s">
        <v>82</v>
      </c>
      <c r="G56" s="56" t="s">
        <v>83</v>
      </c>
      <c r="H56" s="56" t="s">
        <v>84</v>
      </c>
      <c r="I56" s="73"/>
    </row>
    <row r="57" spans="1:9">
      <c r="A57" s="47" t="s">
        <v>11</v>
      </c>
      <c r="B57" s="23">
        <f>IF(Κανονικοποίηση!C$2=0, IF(Κανονικοποίηση!$C2=0, 1, 1/9), IF(Κανονικοποίηση!$C2=0, 9, MIN(MAX(Κανονικοποίηση!$C2/Κανονικοποίηση!C$2, 1/9), 9)))</f>
        <v>1</v>
      </c>
      <c r="C57" s="23">
        <f>IF(Κανονικοποίηση!D$2=0, IF(Κανονικοποίηση!$C2=0, 1, 1/9), IF(Κανονικοποίηση!$C2=0, 9, MIN(MAX(Κανονικοποίηση!$C2/Κανονικοποίηση!D$2, 1/9), 9)))</f>
        <v>0.97058823529411775</v>
      </c>
      <c r="D57" s="23">
        <f>IF(Κανονικοποίηση!E$2=0, IF(Κανονικοποίηση!$C2=0, 1, 1/9), IF(Κανονικοποίηση!$C2=0, 9, MIN(MAX(Κανονικοποίηση!$C2/Κανονικοποίηση!E$2, 1/9), 9)))</f>
        <v>0.97058823529411775</v>
      </c>
      <c r="E57" s="23">
        <f>IF(Κανονικοποίηση!F$2=0, IF(Κανονικοποίηση!$C2=0, 1, 1/9), IF(Κανονικοποίηση!$C2=0, 9, MIN(MAX(Κανονικοποίηση!$C2/Κανονικοποίηση!F$2, 1/9), 9)))</f>
        <v>0.1111111111111111</v>
      </c>
      <c r="F57" s="23">
        <f>IF(Κανονικοποίηση!G$2=0, IF(Κανονικοποίηση!$C2=0, 1, 1/9), IF(Κανονικοποίηση!$C2=0, 9, MIN(MAX(Κανονικοποίηση!$C2/Κανονικοποίηση!G$2, 1/9), 9)))</f>
        <v>0.73949579831932777</v>
      </c>
      <c r="G57" s="23">
        <f>IF(Κανονικοποίηση!H$2=0, IF(Κανονικοποίηση!$C2=0, 1, 1/9), IF(Κανονικοποίηση!$C2=0, 9, MIN(MAX(Κανονικοποίηση!$C2/Κανονικοποίηση!H$2, 1/9), 9)))</f>
        <v>1.2941176470588236</v>
      </c>
      <c r="H57" s="23">
        <f>IF(Κανονικοποίηση!I$2=0, IF(Κανονικοποίηση!$C2=0, 1, 1/9), IF(Κανονικοποίηση!$C2=0, 9, MIN(MAX(Κανονικοποίηση!$C2/Κανονικοποίηση!I$2, 1/9), 9)))</f>
        <v>1.2941176470588236</v>
      </c>
      <c r="I57" s="74"/>
    </row>
    <row r="58" spans="1:9">
      <c r="A58" s="47" t="s">
        <v>12</v>
      </c>
      <c r="B58" s="23">
        <f>IF(Κανονικοποίηση!C$2=0, IF(Κανονικοποίηση!$C3=0, 1, 1/9), IF(Κανονικοποίηση!$C3=0, 9, MIN(MAX(Κανονικοποίηση!$C3/Κανονικοποίηση!C$2, 1/9), 9)))</f>
        <v>0.36363636363636359</v>
      </c>
      <c r="C58" s="23">
        <f>IF(Κανονικοποίηση!D$2=0, IF(Κανονικοποίηση!$C3=0, 1, 1/9), IF(Κανονικοποίηση!$C3=0, 9, MIN(MAX(Κανονικοποίηση!$C3/Κανονικοποίηση!D$2, 1/9), 9)))</f>
        <v>0.35294117647058826</v>
      </c>
      <c r="D58" s="23">
        <f>IF(Κανονικοποίηση!E$2=0, IF(Κανονικοποίηση!$C3=0, 1, 1/9), IF(Κανονικοποίηση!$C3=0, 9, MIN(MAX(Κανονικοποίηση!$C3/Κανονικοποίηση!E$2, 1/9), 9)))</f>
        <v>0.35294117647058826</v>
      </c>
      <c r="E58" s="23">
        <f>IF(Κανονικοποίηση!F$2=0, IF(Κανονικοποίηση!$C3=0, 1, 1/9), IF(Κανονικοποίηση!$C3=0, 9, MIN(MAX(Κανονικοποίηση!$C3/Κανονικοποίηση!F$2, 1/9), 9)))</f>
        <v>0.1111111111111111</v>
      </c>
      <c r="F58" s="23">
        <f>IF(Κανονικοποίηση!G$2=0, IF(Κανονικοποίηση!$C3=0, 1, 1/9), IF(Κανονικοποίηση!$C3=0, 9, MIN(MAX(Κανονικοποίηση!$C3/Κανονικοποίηση!G$2, 1/9), 9)))</f>
        <v>0.26890756302521007</v>
      </c>
      <c r="G58" s="23">
        <f>IF(Κανονικοποίηση!H$2=0, IF(Κανονικοποίηση!$C3=0, 1, 1/9), IF(Κανονικοποίηση!$C3=0, 9, MIN(MAX(Κανονικοποίηση!$C3/Κανονικοποίηση!H$2, 1/9), 9)))</f>
        <v>0.47058823529411764</v>
      </c>
      <c r="H58" s="23">
        <f>IF(Κανονικοποίηση!I$2=0, IF(Κανονικοποίηση!$C3=0, 1, 1/9), IF(Κανονικοποίηση!$C3=0, 9, MIN(MAX(Κανονικοποίηση!$C3/Κανονικοποίηση!I$2, 1/9), 9)))</f>
        <v>0.47058823529411764</v>
      </c>
      <c r="I58" s="74"/>
    </row>
    <row r="59" spans="1:9">
      <c r="A59" s="47" t="s">
        <v>13</v>
      </c>
      <c r="B59" s="23">
        <f>IF(Κανονικοποίηση!C$2=0, IF(Κανονικοποίηση!$C4=0, 1, 1/9), IF(Κανονικοποίηση!$C4=0, 9, MIN(MAX(Κανονικοποίηση!$C4/Κανονικοποίηση!C$2, 1/9), 9)))</f>
        <v>0.63636363636363635</v>
      </c>
      <c r="C59" s="23">
        <f>IF(Κανονικοποίηση!D$2=0, IF(Κανονικοποίηση!$C4=0, 1, 1/9), IF(Κανονικοποίηση!$C4=0, 9, MIN(MAX(Κανονικοποίηση!$C4/Κανονικοποίηση!D$2, 1/9), 9)))</f>
        <v>0.61764705882352944</v>
      </c>
      <c r="D59" s="23">
        <f>IF(Κανονικοποίηση!E$2=0, IF(Κανονικοποίηση!$C4=0, 1, 1/9), IF(Κανονικοποίηση!$C4=0, 9, MIN(MAX(Κανονικοποίηση!$C4/Κανονικοποίηση!E$2, 1/9), 9)))</f>
        <v>0.61764705882352944</v>
      </c>
      <c r="E59" s="23">
        <f>IF(Κανονικοποίηση!F$2=0, IF(Κανονικοποίηση!$C4=0, 1, 1/9), IF(Κανονικοποίηση!$C4=0, 9, MIN(MAX(Κανονικοποίηση!$C4/Κανονικοποίηση!F$2, 1/9), 9)))</f>
        <v>0.1111111111111111</v>
      </c>
      <c r="F59" s="23">
        <f>IF(Κανονικοποίηση!G$2=0, IF(Κανονικοποίηση!$C4=0, 1, 1/9), IF(Κανονικοποίηση!$C4=0, 9, MIN(MAX(Κανονικοποίηση!$C4/Κανονικοποίηση!G$2, 1/9), 9)))</f>
        <v>0.47058823529411764</v>
      </c>
      <c r="G59" s="23">
        <f>IF(Κανονικοποίηση!H$2=0, IF(Κανονικοποίηση!$C4=0, 1, 1/9), IF(Κανονικοποίηση!$C4=0, 9, MIN(MAX(Κανονικοποίηση!$C4/Κανονικοποίηση!H$2, 1/9), 9)))</f>
        <v>0.82352941176470584</v>
      </c>
      <c r="H59" s="23">
        <f>IF(Κανονικοποίηση!I$2=0, IF(Κανονικοποίηση!$C4=0, 1, 1/9), IF(Κανονικοποίηση!$C4=0, 9, MIN(MAX(Κανονικοποίηση!$C4/Κανονικοποίηση!I$2, 1/9), 9)))</f>
        <v>0.82352941176470584</v>
      </c>
      <c r="I59" s="74"/>
    </row>
    <row r="60" spans="1:9">
      <c r="A60" s="47" t="s">
        <v>14</v>
      </c>
      <c r="B60" s="23">
        <f>IF(Κανονικοποίηση!C$2=0, IF(Κανονικοποίηση!$C5=0, 1, 1/9), IF(Κανονικοποίηση!$C5=0, 9, MIN(MAX(Κανονικοποίηση!$C5/Κανονικοποίηση!C$2, 1/9), 9)))</f>
        <v>1.5454545454545454</v>
      </c>
      <c r="C60" s="23">
        <f>IF(Κανονικοποίηση!D$2=0, IF(Κανονικοποίηση!$C5=0, 1, 1/9), IF(Κανονικοποίηση!$C5=0, 9, MIN(MAX(Κανονικοποίηση!$C5/Κανονικοποίηση!D$2, 1/9), 9)))</f>
        <v>1.5</v>
      </c>
      <c r="D60" s="23">
        <f>IF(Κανονικοποίηση!E$2=0, IF(Κανονικοποίηση!$C5=0, 1, 1/9), IF(Κανονικοποίηση!$C5=0, 9, MIN(MAX(Κανονικοποίηση!$C5/Κανονικοποίηση!E$2, 1/9), 9)))</f>
        <v>1.5</v>
      </c>
      <c r="E60" s="23">
        <f>IF(Κανονικοποίηση!F$2=0, IF(Κανονικοποίηση!$C5=0, 1, 1/9), IF(Κανονικοποίηση!$C5=0, 9, MIN(MAX(Κανονικοποίηση!$C5/Κανονικοποίηση!F$2, 1/9), 9)))</f>
        <v>0.1111111111111111</v>
      </c>
      <c r="F60" s="23">
        <f>IF(Κανονικοποίηση!G$2=0, IF(Κανονικοποίηση!$C5=0, 1, 1/9), IF(Κανονικοποίηση!$C5=0, 9, MIN(MAX(Κανονικοποίηση!$C5/Κανονικοποίηση!G$2, 1/9), 9)))</f>
        <v>1.1428571428571428</v>
      </c>
      <c r="G60" s="23">
        <f>IF(Κανονικοποίηση!H$2=0, IF(Κανονικοποίηση!$C5=0, 1, 1/9), IF(Κανονικοποίηση!$C5=0, 9, MIN(MAX(Κανονικοποίηση!$C5/Κανονικοποίηση!H$2, 1/9), 9)))</f>
        <v>2</v>
      </c>
      <c r="H60" s="23">
        <f>IF(Κανονικοποίηση!I$2=0, IF(Κανονικοποίηση!$C5=0, 1, 1/9), IF(Κανονικοποίηση!$C5=0, 9, MIN(MAX(Κανονικοποίηση!$C5/Κανονικοποίηση!I$2, 1/9), 9)))</f>
        <v>2</v>
      </c>
      <c r="I60" s="74"/>
    </row>
    <row r="61" spans="1:9">
      <c r="A61" s="47" t="s">
        <v>15</v>
      </c>
      <c r="B61" s="23">
        <f>IF(Κανονικοποίηση!C$2=0, IF(Κανονικοποίηση!$C6=0, 1, 1/9), IF(Κανονικοποίηση!$C6=0, 9, MIN(MAX(Κανονικοποίηση!$C6/Κανονικοποίηση!C$2, 1/9), 9)))</f>
        <v>9</v>
      </c>
      <c r="C61" s="23">
        <f>IF(Κανονικοποίηση!D$2=0, IF(Κανονικοποίηση!$C6=0, 1, 1/9), IF(Κανονικοποίηση!$C6=0, 9, MIN(MAX(Κανονικοποίηση!$C6/Κανονικοποίηση!D$2, 1/9), 9)))</f>
        <v>9</v>
      </c>
      <c r="D61" s="23">
        <f>IF(Κανονικοποίηση!E$2=0, IF(Κανονικοποίηση!$C6=0, 1, 1/9), IF(Κανονικοποίηση!$C6=0, 9, MIN(MAX(Κανονικοποίηση!$C6/Κανονικοποίηση!E$2, 1/9), 9)))</f>
        <v>9</v>
      </c>
      <c r="E61" s="23">
        <f>IF(Κανονικοποίηση!F$2=0, IF(Κανονικοποίηση!$C6=0, 1, 1/9), IF(Κανονικοποίηση!$C6=0, 9, MIN(MAX(Κανονικοποίηση!$C6/Κανονικοποίηση!F$2, 1/9), 9)))</f>
        <v>1</v>
      </c>
      <c r="F61" s="23">
        <f>IF(Κανονικοποίηση!G$2=0, IF(Κανονικοποίηση!$C6=0, 1, 1/9), IF(Κανονικοποίηση!$C6=0, 9, MIN(MAX(Κανονικοποίηση!$C6/Κανονικοποίηση!G$2, 1/9), 9)))</f>
        <v>9</v>
      </c>
      <c r="G61" s="23">
        <f>IF(Κανονικοποίηση!H$2=0, IF(Κανονικοποίηση!$C6=0, 1, 1/9), IF(Κανονικοποίηση!$C6=0, 9, MIN(MAX(Κανονικοποίηση!$C6/Κανονικοποίηση!H$2, 1/9), 9)))</f>
        <v>9</v>
      </c>
      <c r="H61" s="23">
        <f>IF(Κανονικοποίηση!I$2=0, IF(Κανονικοποίηση!$C6=0, 1, 1/9), IF(Κανονικοποίηση!$C6=0, 9, MIN(MAX(Κανονικοποίηση!$C6/Κανονικοποίηση!I$2, 1/9), 9)))</f>
        <v>9</v>
      </c>
      <c r="I61" s="74"/>
    </row>
    <row r="62" spans="1:9">
      <c r="A62" s="47" t="s">
        <v>16</v>
      </c>
      <c r="B62" s="23">
        <f>IF(Κανονικοποίηση!C$2=0, IF(Κανονικοποίηση!$C7=0, 1, 1/9), IF(Κανονικοποίηση!$C7=0, 9, MIN(MAX(Κανονικοποίηση!$C7/Κανονικοποίηση!C$2, 1/9), 9)))</f>
        <v>1.1818181818181817</v>
      </c>
      <c r="C62" s="23">
        <f>IF(Κανονικοποίηση!D$2=0, IF(Κανονικοποίηση!$C7=0, 1, 1/9), IF(Κανονικοποίηση!$C7=0, 9, MIN(MAX(Κανονικοποίηση!$C7/Κανονικοποίηση!D$2, 1/9), 9)))</f>
        <v>1.1470588235294117</v>
      </c>
      <c r="D62" s="23">
        <f>IF(Κανονικοποίηση!E$2=0, IF(Κανονικοποίηση!$C7=0, 1, 1/9), IF(Κανονικοποίηση!$C7=0, 9, MIN(MAX(Κανονικοποίηση!$C7/Κανονικοποίηση!E$2, 1/9), 9)))</f>
        <v>1.1470588235294117</v>
      </c>
      <c r="E62" s="23">
        <f>IF(Κανονικοποίηση!F$2=0, IF(Κανονικοποίηση!$C7=0, 1, 1/9), IF(Κανονικοποίηση!$C7=0, 9, MIN(MAX(Κανονικοποίηση!$C7/Κανονικοποίηση!F$2, 1/9), 9)))</f>
        <v>0.1111111111111111</v>
      </c>
      <c r="F62" s="23">
        <f>IF(Κανονικοποίηση!G$2=0, IF(Κανονικοποίηση!$C7=0, 1, 1/9), IF(Κανονικοποίηση!$C7=0, 9, MIN(MAX(Κανονικοποίηση!$C7/Κανονικοποίηση!G$2, 1/9), 9)))</f>
        <v>0.87394957983193267</v>
      </c>
      <c r="G62" s="23">
        <f>IF(Κανονικοποίηση!H$2=0, IF(Κανονικοποίηση!$C7=0, 1, 1/9), IF(Κανονικοποίηση!$C7=0, 9, MIN(MAX(Κανονικοποίηση!$C7/Κανονικοποίηση!H$2, 1/9), 9)))</f>
        <v>1.5294117647058822</v>
      </c>
      <c r="H62" s="23">
        <f>IF(Κανονικοποίηση!I$2=0, IF(Κανονικοποίηση!$C7=0, 1, 1/9), IF(Κανονικοποίηση!$C7=0, 9, MIN(MAX(Κανονικοποίηση!$C7/Κανονικοποίηση!I$2, 1/9), 9)))</f>
        <v>1.5294117647058822</v>
      </c>
      <c r="I62" s="74"/>
    </row>
    <row r="63" spans="1:9">
      <c r="A63" s="47" t="s">
        <v>17</v>
      </c>
      <c r="B63" s="23">
        <f>IF(Κανονικοποίηση!C$2=0, IF(Κανονικοποίηση!$C8=0, 1, 1/9), IF(Κανονικοποίηση!$C8=0, 9, MIN(MAX(Κανονικοποίηση!$C8/Κανονικοποίηση!C$2, 1/9), 9)))</f>
        <v>0.27272727272727271</v>
      </c>
      <c r="C63" s="23">
        <f>IF(Κανονικοποίηση!D$2=0, IF(Κανονικοποίηση!$C8=0, 1, 1/9), IF(Κανονικοποίηση!$C8=0, 9, MIN(MAX(Κανονικοποίηση!$C8/Κανονικοποίηση!D$2, 1/9), 9)))</f>
        <v>0.26470588235294124</v>
      </c>
      <c r="D63" s="23">
        <f>IF(Κανονικοποίηση!E$2=0, IF(Κανονικοποίηση!$C8=0, 1, 1/9), IF(Κανονικοποίηση!$C8=0, 9, MIN(MAX(Κανονικοποίηση!$C8/Κανονικοποίηση!E$2, 1/9), 9)))</f>
        <v>0.26470588235294124</v>
      </c>
      <c r="E63" s="23">
        <f>IF(Κανονικοποίηση!F$2=0, IF(Κανονικοποίηση!$C8=0, 1, 1/9), IF(Κανονικοποίηση!$C8=0, 9, MIN(MAX(Κανονικοποίηση!$C8/Κανονικοποίηση!F$2, 1/9), 9)))</f>
        <v>0.1111111111111111</v>
      </c>
      <c r="F63" s="23">
        <f>IF(Κανονικοποίηση!G$2=0, IF(Κανονικοποίηση!$C8=0, 1, 1/9), IF(Κανονικοποίηση!$C8=0, 9, MIN(MAX(Κανονικοποίηση!$C8/Κανονικοποίηση!G$2, 1/9), 9)))</f>
        <v>0.20168067226890757</v>
      </c>
      <c r="G63" s="23">
        <f>IF(Κανονικοποίηση!H$2=0, IF(Κανονικοποίηση!$C8=0, 1, 1/9), IF(Κανονικοποίηση!$C8=0, 9, MIN(MAX(Κανονικοποίηση!$C8/Κανονικοποίηση!H$2, 1/9), 9)))</f>
        <v>0.35294117647058826</v>
      </c>
      <c r="H63" s="23">
        <f>IF(Κανονικοποίηση!I$2=0, IF(Κανονικοποίηση!$C8=0, 1, 1/9), IF(Κανονικοποίηση!$C8=0, 9, MIN(MAX(Κανονικοποίηση!$C8/Κανονικοποίηση!I$2, 1/9), 9)))</f>
        <v>0.35294117647058826</v>
      </c>
      <c r="I63" s="74"/>
    </row>
    <row r="64" spans="1:9">
      <c r="A64" s="47" t="s">
        <v>75</v>
      </c>
      <c r="B64" s="14">
        <f>SUM(B57:B63)</f>
        <v>14</v>
      </c>
      <c r="C64" s="14">
        <f t="shared" ref="C64:H64" si="9">SUM(C57:C63)</f>
        <v>13.852941176470589</v>
      </c>
      <c r="D64" s="14">
        <f t="shared" si="9"/>
        <v>13.852941176470589</v>
      </c>
      <c r="E64" s="14">
        <f t="shared" si="9"/>
        <v>1.6666666666666667</v>
      </c>
      <c r="F64" s="14">
        <f t="shared" si="9"/>
        <v>12.697478991596638</v>
      </c>
      <c r="G64" s="14">
        <f t="shared" si="9"/>
        <v>15.470588235294118</v>
      </c>
      <c r="H64" s="14">
        <f t="shared" si="9"/>
        <v>15.470588235294118</v>
      </c>
      <c r="I64" s="75"/>
    </row>
    <row r="65" spans="1:9">
      <c r="A65" s="28"/>
      <c r="B65" s="29"/>
      <c r="C65" s="29"/>
      <c r="D65" s="29"/>
      <c r="E65" s="29"/>
      <c r="F65" s="29"/>
      <c r="G65" s="29"/>
      <c r="H65" s="29"/>
      <c r="I65" s="30"/>
    </row>
    <row r="66" spans="1:9">
      <c r="A66" s="77" t="s">
        <v>76</v>
      </c>
      <c r="B66" s="77"/>
      <c r="C66" s="77"/>
      <c r="D66" s="77"/>
      <c r="E66" s="77"/>
      <c r="F66" s="77"/>
      <c r="G66" s="77"/>
      <c r="H66" s="77"/>
      <c r="I66" s="77"/>
    </row>
    <row r="67" spans="1:9">
      <c r="A67" s="57" t="s">
        <v>23</v>
      </c>
      <c r="B67" s="56" t="s">
        <v>80</v>
      </c>
      <c r="C67" s="56" t="s">
        <v>81</v>
      </c>
      <c r="D67" s="56" t="s">
        <v>13</v>
      </c>
      <c r="E67" s="56" t="s">
        <v>14</v>
      </c>
      <c r="F67" s="56" t="s">
        <v>82</v>
      </c>
      <c r="G67" s="56" t="s">
        <v>83</v>
      </c>
      <c r="H67" s="56" t="s">
        <v>84</v>
      </c>
      <c r="I67" s="56" t="s">
        <v>77</v>
      </c>
    </row>
    <row r="68" spans="1:9">
      <c r="A68" s="47" t="s">
        <v>11</v>
      </c>
      <c r="B68" s="23">
        <f>(B57/B$64)</f>
        <v>7.1428571428571425E-2</v>
      </c>
      <c r="C68" s="23">
        <f t="shared" ref="C68:H68" si="10">(C57/C$64)</f>
        <v>7.0063694267515922E-2</v>
      </c>
      <c r="D68" s="23">
        <f t="shared" si="10"/>
        <v>7.0063694267515922E-2</v>
      </c>
      <c r="E68" s="23">
        <f t="shared" si="10"/>
        <v>6.6666666666666666E-2</v>
      </c>
      <c r="F68" s="23">
        <f t="shared" si="10"/>
        <v>5.823957643944408E-2</v>
      </c>
      <c r="G68" s="23">
        <f t="shared" si="10"/>
        <v>8.3650190114068448E-2</v>
      </c>
      <c r="H68" s="23">
        <f t="shared" si="10"/>
        <v>8.3650190114068448E-2</v>
      </c>
      <c r="I68" s="14">
        <f>AVERAGE(B68:H68)</f>
        <v>7.1966083328264402E-2</v>
      </c>
    </row>
    <row r="69" spans="1:9">
      <c r="A69" s="47" t="s">
        <v>12</v>
      </c>
      <c r="B69" s="23">
        <f t="shared" ref="B69:H69" si="11">(B58/B$64)</f>
        <v>2.5974025974025972E-2</v>
      </c>
      <c r="C69" s="23">
        <f t="shared" si="11"/>
        <v>2.5477707006369428E-2</v>
      </c>
      <c r="D69" s="23">
        <f t="shared" si="11"/>
        <v>2.5477707006369428E-2</v>
      </c>
      <c r="E69" s="23">
        <f t="shared" si="11"/>
        <v>6.6666666666666666E-2</v>
      </c>
      <c r="F69" s="23">
        <f t="shared" si="11"/>
        <v>2.1178027796161483E-2</v>
      </c>
      <c r="G69" s="23">
        <f t="shared" si="11"/>
        <v>3.0418250950570342E-2</v>
      </c>
      <c r="H69" s="23">
        <f t="shared" si="11"/>
        <v>3.0418250950570342E-2</v>
      </c>
      <c r="I69" s="14">
        <f t="shared" ref="I69:I74" si="12">AVERAGE(B69:H69)</f>
        <v>3.2230090907247669E-2</v>
      </c>
    </row>
    <row r="70" spans="1:9">
      <c r="A70" s="47" t="s">
        <v>13</v>
      </c>
      <c r="B70" s="23">
        <f t="shared" ref="B70:H70" si="13">(B59/B$64)</f>
        <v>4.5454545454545456E-2</v>
      </c>
      <c r="C70" s="23">
        <f t="shared" si="13"/>
        <v>4.4585987261146494E-2</v>
      </c>
      <c r="D70" s="23">
        <f t="shared" si="13"/>
        <v>4.4585987261146494E-2</v>
      </c>
      <c r="E70" s="23">
        <f t="shared" si="13"/>
        <v>6.6666666666666666E-2</v>
      </c>
      <c r="F70" s="23">
        <f t="shared" si="13"/>
        <v>3.7061548643282594E-2</v>
      </c>
      <c r="G70" s="23">
        <f t="shared" si="13"/>
        <v>5.3231939163498096E-2</v>
      </c>
      <c r="H70" s="23">
        <f t="shared" si="13"/>
        <v>5.3231939163498096E-2</v>
      </c>
      <c r="I70" s="14">
        <f t="shared" si="12"/>
        <v>4.9259801944826272E-2</v>
      </c>
    </row>
    <row r="71" spans="1:9">
      <c r="A71" s="47" t="s">
        <v>14</v>
      </c>
      <c r="B71" s="23">
        <f t="shared" ref="B71:H71" si="14">(B60/B$64)</f>
        <v>0.11038961038961038</v>
      </c>
      <c r="C71" s="23">
        <f t="shared" si="14"/>
        <v>0.10828025477707005</v>
      </c>
      <c r="D71" s="23">
        <f t="shared" si="14"/>
        <v>0.10828025477707005</v>
      </c>
      <c r="E71" s="23">
        <f t="shared" si="14"/>
        <v>6.6666666666666666E-2</v>
      </c>
      <c r="F71" s="23">
        <f t="shared" si="14"/>
        <v>9.0006618133686295E-2</v>
      </c>
      <c r="G71" s="23">
        <f t="shared" si="14"/>
        <v>0.12927756653992395</v>
      </c>
      <c r="H71" s="23">
        <f t="shared" si="14"/>
        <v>0.12927756653992395</v>
      </c>
      <c r="I71" s="14">
        <f t="shared" si="12"/>
        <v>0.10602550540342162</v>
      </c>
    </row>
    <row r="72" spans="1:9">
      <c r="A72" s="47" t="s">
        <v>15</v>
      </c>
      <c r="B72" s="23">
        <f t="shared" ref="B72:H72" si="15">(B61/B$64)</f>
        <v>0.6428571428571429</v>
      </c>
      <c r="C72" s="23">
        <f t="shared" si="15"/>
        <v>0.64968152866242035</v>
      </c>
      <c r="D72" s="23">
        <f t="shared" si="15"/>
        <v>0.64968152866242035</v>
      </c>
      <c r="E72" s="23">
        <f t="shared" si="15"/>
        <v>0.6</v>
      </c>
      <c r="F72" s="23">
        <f t="shared" si="15"/>
        <v>0.70880211780277969</v>
      </c>
      <c r="G72" s="23">
        <f t="shared" si="15"/>
        <v>0.58174904942965777</v>
      </c>
      <c r="H72" s="23">
        <f t="shared" si="15"/>
        <v>0.58174904942965777</v>
      </c>
      <c r="I72" s="14">
        <f t="shared" si="12"/>
        <v>0.63064577383486853</v>
      </c>
    </row>
    <row r="73" spans="1:9">
      <c r="A73" s="47" t="s">
        <v>16</v>
      </c>
      <c r="B73" s="23">
        <f t="shared" ref="B73:H73" si="16">(B62/B$64)</f>
        <v>8.4415584415584402E-2</v>
      </c>
      <c r="C73" s="23">
        <f t="shared" si="16"/>
        <v>8.2802547770700632E-2</v>
      </c>
      <c r="D73" s="23">
        <f t="shared" si="16"/>
        <v>8.2802547770700632E-2</v>
      </c>
      <c r="E73" s="23">
        <f t="shared" si="16"/>
        <v>6.6666666666666666E-2</v>
      </c>
      <c r="F73" s="23">
        <f t="shared" si="16"/>
        <v>6.8828590337524809E-2</v>
      </c>
      <c r="G73" s="23">
        <f t="shared" si="16"/>
        <v>9.8859315589353611E-2</v>
      </c>
      <c r="H73" s="23">
        <f t="shared" si="16"/>
        <v>9.8859315589353611E-2</v>
      </c>
      <c r="I73" s="14">
        <f t="shared" si="12"/>
        <v>8.3319224019983484E-2</v>
      </c>
    </row>
    <row r="74" spans="1:9">
      <c r="A74" s="47" t="s">
        <v>17</v>
      </c>
      <c r="B74" s="23">
        <f t="shared" ref="B74:H74" si="17">(B63/B$64)</f>
        <v>1.948051948051948E-2</v>
      </c>
      <c r="C74" s="23">
        <f t="shared" si="17"/>
        <v>1.9108280254777073E-2</v>
      </c>
      <c r="D74" s="23">
        <f t="shared" si="17"/>
        <v>1.9108280254777073E-2</v>
      </c>
      <c r="E74" s="23">
        <f t="shared" si="17"/>
        <v>6.6666666666666666E-2</v>
      </c>
      <c r="F74" s="23">
        <f t="shared" si="17"/>
        <v>1.5883520847121115E-2</v>
      </c>
      <c r="G74" s="23">
        <f t="shared" si="17"/>
        <v>2.2813688212927757E-2</v>
      </c>
      <c r="H74" s="23">
        <f t="shared" si="17"/>
        <v>2.2813688212927757E-2</v>
      </c>
      <c r="I74" s="14">
        <f t="shared" si="12"/>
        <v>2.6553520561388131E-2</v>
      </c>
    </row>
    <row r="77" spans="1:9">
      <c r="A77" s="70" t="s">
        <v>86</v>
      </c>
      <c r="B77" s="71"/>
      <c r="C77" s="71"/>
      <c r="D77" s="71"/>
      <c r="E77" s="71"/>
      <c r="F77" s="71"/>
      <c r="G77" s="71"/>
      <c r="H77" s="71"/>
      <c r="I77" s="72"/>
    </row>
    <row r="78" spans="1:9">
      <c r="A78" s="57" t="s">
        <v>23</v>
      </c>
      <c r="B78" s="56" t="s">
        <v>80</v>
      </c>
      <c r="C78" s="56" t="s">
        <v>81</v>
      </c>
      <c r="D78" s="56" t="s">
        <v>13</v>
      </c>
      <c r="E78" s="56" t="s">
        <v>14</v>
      </c>
      <c r="F78" s="56" t="s">
        <v>82</v>
      </c>
      <c r="G78" s="56" t="s">
        <v>83</v>
      </c>
      <c r="H78" s="56" t="s">
        <v>84</v>
      </c>
      <c r="I78" s="73"/>
    </row>
    <row r="79" spans="1:9">
      <c r="A79" s="47" t="s">
        <v>11</v>
      </c>
      <c r="B79" s="23">
        <f>IF(Κανονικοποίηση!D$2=0, IF(Κανονικοποίηση!$D2=0, 1, 1/9), IF(Κανονικοποίηση!$D2=0, 9, MIN(MAX(Κανονικοποίηση!$D2/Κανονικοποίηση!D$2, 1/9), 9)))</f>
        <v>1</v>
      </c>
      <c r="C79" s="23">
        <f>IF(Κανονικοποίηση!E$2=0, IF(Κανονικοποίηση!$D2=0, 1, 1/9), IF(Κανονικοποίηση!$D2=0, 9, MIN(MAX(Κανονικοποίηση!$D2/Κανονικοποίηση!E$2, 1/9), 9)))</f>
        <v>1</v>
      </c>
      <c r="D79" s="23">
        <f>IF(Κανονικοποίηση!F$2=0, IF(Κανονικοποίηση!$D2=0, 1, 1/9), IF(Κανονικοποίηση!$D2=0, 9, MIN(MAX(Κανονικοποίηση!$D2/Κανονικοποίηση!F$2, 1/9), 9)))</f>
        <v>0.1111111111111111</v>
      </c>
      <c r="E79" s="23">
        <f>IF(Κανονικοποίηση!G$2=0, IF(Κανονικοποίηση!$D2=0, 1, 1/9), IF(Κανονικοποίηση!$D2=0, 9, MIN(MAX(Κανονικοποίηση!$D2/Κανονικοποίηση!G$2, 1/9), 9)))</f>
        <v>0.76190476190476186</v>
      </c>
      <c r="F79" s="23">
        <f>IF(Κανονικοποίηση!H$2=0, IF(Κανονικοποίηση!$D2=0, 1, 1/9), IF(Κανονικοποίηση!$D2=0, 9, MIN(MAX(Κανονικοποίηση!$D2/Κανονικοποίηση!H$2, 1/9), 9)))</f>
        <v>1.3333333333333333</v>
      </c>
      <c r="G79" s="23">
        <f>IF(Κανονικοποίηση!I$2=0, IF(Κανονικοποίηση!$D2=0, 1, 1/9), IF(Κανονικοποίηση!$D2=0, 9, MIN(MAX(Κανονικοποίηση!$D2/Κανονικοποίηση!I$2, 1/9), 9)))</f>
        <v>1.3333333333333333</v>
      </c>
      <c r="H79" s="23">
        <f>IF(Κανονικοποίηση!J$2=0, IF(Κανονικοποίηση!$D2=0, 1, 1/9), IF(Κανονικοποίηση!$D2=0, 9, MIN(MAX(Κανονικοποίηση!$D2/Κανονικοποίηση!J$2, 1/9), 9)))</f>
        <v>0.66666666666666663</v>
      </c>
      <c r="I79" s="74"/>
    </row>
    <row r="80" spans="1:9">
      <c r="A80" s="47" t="s">
        <v>12</v>
      </c>
      <c r="B80" s="23">
        <f>IF(Κανονικοποίηση!D$2=0, IF(Κανονικοποίηση!$D3=0, 1, 1/9), IF(Κανονικοποίηση!$D3=0, 9, MIN(MAX(Κανονικοποίηση!$D3/Κανονικοποίηση!D$2, 1/9), 9)))</f>
        <v>0.5</v>
      </c>
      <c r="C80" s="23">
        <f>IF(Κανονικοποίηση!E$2=0, IF(Κανονικοποίηση!$D3=0, 1, 1/9), IF(Κανονικοποίηση!$D3=0, 9, MIN(MAX(Κανονικοποίηση!$D3/Κανονικοποίηση!E$2, 1/9), 9)))</f>
        <v>0.5</v>
      </c>
      <c r="D80" s="23">
        <f>IF(Κανονικοποίηση!F$2=0, IF(Κανονικοποίηση!$D3=0, 1, 1/9), IF(Κανονικοποίηση!$D3=0, 9, MIN(MAX(Κανονικοποίηση!$D3/Κανονικοποίηση!F$2, 1/9), 9)))</f>
        <v>0.1111111111111111</v>
      </c>
      <c r="E80" s="23">
        <f>IF(Κανονικοποίηση!G$2=0, IF(Κανονικοποίηση!$D3=0, 1, 1/9), IF(Κανονικοποίηση!$D3=0, 9, MIN(MAX(Κανονικοποίηση!$D3/Κανονικοποίηση!G$2, 1/9), 9)))</f>
        <v>0.38095238095238093</v>
      </c>
      <c r="F80" s="23">
        <f>IF(Κανονικοποίηση!H$2=0, IF(Κανονικοποίηση!$D3=0, 1, 1/9), IF(Κανονικοποίηση!$D3=0, 9, MIN(MAX(Κανονικοποίηση!$D3/Κανονικοποίηση!H$2, 1/9), 9)))</f>
        <v>0.66666666666666663</v>
      </c>
      <c r="G80" s="23">
        <f>IF(Κανονικοποίηση!I$2=0, IF(Κανονικοποίηση!$D3=0, 1, 1/9), IF(Κανονικοποίηση!$D3=0, 9, MIN(MAX(Κανονικοποίηση!$D3/Κανονικοποίηση!I$2, 1/9), 9)))</f>
        <v>0.66666666666666663</v>
      </c>
      <c r="H80" s="23">
        <f>IF(Κανονικοποίηση!J$2=0, IF(Κανονικοποίηση!$D3=0, 1, 1/9), IF(Κανονικοποίηση!$D3=0, 9, MIN(MAX(Κανονικοποίηση!$D3/Κανονικοποίηση!J$2, 1/9), 9)))</f>
        <v>0.33333333333333331</v>
      </c>
      <c r="I80" s="74"/>
    </row>
    <row r="81" spans="1:9">
      <c r="A81" s="47" t="s">
        <v>13</v>
      </c>
      <c r="B81" s="23">
        <f>IF(Κανονικοποίηση!D$2=0, IF(Κανονικοποίηση!$D4=0, 1, 1/9), IF(Κανονικοποίηση!$D4=0, 9, MIN(MAX(Κανονικοποίηση!$D4/Κανονικοποίηση!D$2, 1/9), 9)))</f>
        <v>1</v>
      </c>
      <c r="C81" s="23">
        <f>IF(Κανονικοποίηση!E$2=0, IF(Κανονικοποίηση!$D4=0, 1, 1/9), IF(Κανονικοποίηση!$D4=0, 9, MIN(MAX(Κανονικοποίηση!$D4/Κανονικοποίηση!E$2, 1/9), 9)))</f>
        <v>1</v>
      </c>
      <c r="D81" s="23">
        <f>IF(Κανονικοποίηση!F$2=0, IF(Κανονικοποίηση!$D4=0, 1, 1/9), IF(Κανονικοποίηση!$D4=0, 9, MIN(MAX(Κανονικοποίηση!$D4/Κανονικοποίηση!F$2, 1/9), 9)))</f>
        <v>0.1111111111111111</v>
      </c>
      <c r="E81" s="23">
        <f>IF(Κανονικοποίηση!G$2=0, IF(Κανονικοποίηση!$D4=0, 1, 1/9), IF(Κανονικοποίηση!$D4=0, 9, MIN(MAX(Κανονικοποίηση!$D4/Κανονικοποίηση!G$2, 1/9), 9)))</f>
        <v>0.76190476190476186</v>
      </c>
      <c r="F81" s="23">
        <f>IF(Κανονικοποίηση!H$2=0, IF(Κανονικοποίηση!$D4=0, 1, 1/9), IF(Κανονικοποίηση!$D4=0, 9, MIN(MAX(Κανονικοποίηση!$D4/Κανονικοποίηση!H$2, 1/9), 9)))</f>
        <v>1.3333333333333333</v>
      </c>
      <c r="G81" s="23">
        <f>IF(Κανονικοποίηση!I$2=0, IF(Κανονικοποίηση!$D4=0, 1, 1/9), IF(Κανονικοποίηση!$D4=0, 9, MIN(MAX(Κανονικοποίηση!$D4/Κανονικοποίηση!I$2, 1/9), 9)))</f>
        <v>1.3333333333333333</v>
      </c>
      <c r="H81" s="23">
        <f>IF(Κανονικοποίηση!J$2=0, IF(Κανονικοποίηση!$D4=0, 1, 1/9), IF(Κανονικοποίηση!$D4=0, 9, MIN(MAX(Κανονικοποίηση!$D4/Κανονικοποίηση!J$2, 1/9), 9)))</f>
        <v>0.66666666666666663</v>
      </c>
      <c r="I81" s="74"/>
    </row>
    <row r="82" spans="1:9">
      <c r="A82" s="47" t="s">
        <v>14</v>
      </c>
      <c r="B82" s="23">
        <f>IF(Κανονικοποίηση!D$2=0, IF(Κανονικοποίηση!$D5=0, 1, 1/9), IF(Κανονικοποίηση!$D5=0, 9, MIN(MAX(Κανονικοποίηση!$D5/Κανονικοποίηση!D$2, 1/9), 9)))</f>
        <v>1.5</v>
      </c>
      <c r="C82" s="23">
        <f>IF(Κανονικοποίηση!E$2=0, IF(Κανονικοποίηση!$D5=0, 1, 1/9), IF(Κανονικοποίηση!$D5=0, 9, MIN(MAX(Κανονικοποίηση!$D5/Κανονικοποίηση!E$2, 1/9), 9)))</f>
        <v>1.5</v>
      </c>
      <c r="D82" s="23">
        <f>IF(Κανονικοποίηση!F$2=0, IF(Κανονικοποίηση!$D5=0, 1, 1/9), IF(Κανονικοποίηση!$D5=0, 9, MIN(MAX(Κανονικοποίηση!$D5/Κανονικοποίηση!F$2, 1/9), 9)))</f>
        <v>0.1111111111111111</v>
      </c>
      <c r="E82" s="23">
        <f>IF(Κανονικοποίηση!G$2=0, IF(Κανονικοποίηση!$D5=0, 1, 1/9), IF(Κανονικοποίηση!$D5=0, 9, MIN(MAX(Κανονικοποίηση!$D5/Κανονικοποίηση!G$2, 1/9), 9)))</f>
        <v>1.1428571428571428</v>
      </c>
      <c r="F82" s="23">
        <f>IF(Κανονικοποίηση!H$2=0, IF(Κανονικοποίηση!$D5=0, 1, 1/9), IF(Κανονικοποίηση!$D5=0, 9, MIN(MAX(Κανονικοποίηση!$D5/Κανονικοποίηση!H$2, 1/9), 9)))</f>
        <v>2</v>
      </c>
      <c r="G82" s="23">
        <f>IF(Κανονικοποίηση!I$2=0, IF(Κανονικοποίηση!$D5=0, 1, 1/9), IF(Κανονικοποίηση!$D5=0, 9, MIN(MAX(Κανονικοποίηση!$D5/Κανονικοποίηση!I$2, 1/9), 9)))</f>
        <v>2</v>
      </c>
      <c r="H82" s="23">
        <f>IF(Κανονικοποίηση!J$2=0, IF(Κανονικοποίηση!$D5=0, 1, 1/9), IF(Κανονικοποίηση!$D5=0, 9, MIN(MAX(Κανονικοποίηση!$D5/Κανονικοποίηση!J$2, 1/9), 9)))</f>
        <v>1</v>
      </c>
      <c r="I82" s="74"/>
    </row>
    <row r="83" spans="1:9">
      <c r="A83" s="47" t="s">
        <v>15</v>
      </c>
      <c r="B83" s="23">
        <f>IF(Κανονικοποίηση!D$2=0, IF(Κανονικοποίηση!$D6=0, 1, 1/9), IF(Κανονικοποίηση!$D6=0, 9, MIN(MAX(Κανονικοποίηση!$D6/Κανονικοποίηση!D$2, 1/9), 9)))</f>
        <v>9</v>
      </c>
      <c r="C83" s="23">
        <f>IF(Κανονικοποίηση!E$2=0, IF(Κανονικοποίηση!$D6=0, 1, 1/9), IF(Κανονικοποίηση!$D6=0, 9, MIN(MAX(Κανονικοποίηση!$D6/Κανονικοποίηση!E$2, 1/9), 9)))</f>
        <v>9</v>
      </c>
      <c r="D83" s="23">
        <f>IF(Κανονικοποίηση!F$2=0, IF(Κανονικοποίηση!$D6=0, 1, 1/9), IF(Κανονικοποίηση!$D6=0, 9, MIN(MAX(Κανονικοποίηση!$D6/Κανονικοποίηση!F$2, 1/9), 9)))</f>
        <v>1</v>
      </c>
      <c r="E83" s="23">
        <f>IF(Κανονικοποίηση!G$2=0, IF(Κανονικοποίηση!$D6=0, 1, 1/9), IF(Κανονικοποίηση!$D6=0, 9, MIN(MAX(Κανονικοποίηση!$D6/Κανονικοποίηση!G$2, 1/9), 9)))</f>
        <v>9</v>
      </c>
      <c r="F83" s="23">
        <f>IF(Κανονικοποίηση!H$2=0, IF(Κανονικοποίηση!$D6=0, 1, 1/9), IF(Κανονικοποίηση!$D6=0, 9, MIN(MAX(Κανονικοποίηση!$D6/Κανονικοποίηση!H$2, 1/9), 9)))</f>
        <v>9</v>
      </c>
      <c r="G83" s="23">
        <f>IF(Κανονικοποίηση!I$2=0, IF(Κανονικοποίηση!$D6=0, 1, 1/9), IF(Κανονικοποίηση!$D6=0, 9, MIN(MAX(Κανονικοποίηση!$D6/Κανονικοποίηση!I$2, 1/9), 9)))</f>
        <v>9</v>
      </c>
      <c r="H83" s="23">
        <f>IF(Κανονικοποίηση!J$2=0, IF(Κανονικοποίηση!$D6=0, 1, 1/9), IF(Κανονικοποίηση!$D6=0, 9, MIN(MAX(Κανονικοποίηση!$D6/Κανονικοποίηση!J$2, 1/9), 9)))</f>
        <v>9</v>
      </c>
      <c r="I83" s="74"/>
    </row>
    <row r="84" spans="1:9">
      <c r="A84" s="47" t="s">
        <v>16</v>
      </c>
      <c r="B84" s="23">
        <f>IF(Κανονικοποίηση!D$2=0, IF(Κανονικοποίηση!$D7=0, 1, 1/9), IF(Κανονικοποίηση!$D7=0, 9, MIN(MAX(Κανονικοποίηση!$D7/Κανονικοποίηση!D$2, 1/9), 9)))</f>
        <v>1</v>
      </c>
      <c r="C84" s="23">
        <f>IF(Κανονικοποίηση!E$2=0, IF(Κανονικοποίηση!$D7=0, 1, 1/9), IF(Κανονικοποίηση!$D7=0, 9, MIN(MAX(Κανονικοποίηση!$D7/Κανονικοποίηση!E$2, 1/9), 9)))</f>
        <v>1</v>
      </c>
      <c r="D84" s="23">
        <f>IF(Κανονικοποίηση!F$2=0, IF(Κανονικοποίηση!$D7=0, 1, 1/9), IF(Κανονικοποίηση!$D7=0, 9, MIN(MAX(Κανονικοποίηση!$D7/Κανονικοποίηση!F$2, 1/9), 9)))</f>
        <v>0.1111111111111111</v>
      </c>
      <c r="E84" s="23">
        <f>IF(Κανονικοποίηση!G$2=0, IF(Κανονικοποίηση!$D7=0, 1, 1/9), IF(Κανονικοποίηση!$D7=0, 9, MIN(MAX(Κανονικοποίηση!$D7/Κανονικοποίηση!G$2, 1/9), 9)))</f>
        <v>0.76190476190476186</v>
      </c>
      <c r="F84" s="23">
        <f>IF(Κανονικοποίηση!H$2=0, IF(Κανονικοποίηση!$D7=0, 1, 1/9), IF(Κανονικοποίηση!$D7=0, 9, MIN(MAX(Κανονικοποίηση!$D7/Κανονικοποίηση!H$2, 1/9), 9)))</f>
        <v>1.3333333333333333</v>
      </c>
      <c r="G84" s="23">
        <f>IF(Κανονικοποίηση!I$2=0, IF(Κανονικοποίηση!$D7=0, 1, 1/9), IF(Κανονικοποίηση!$D7=0, 9, MIN(MAX(Κανονικοποίηση!$D7/Κανονικοποίηση!I$2, 1/9), 9)))</f>
        <v>1.3333333333333333</v>
      </c>
      <c r="H84" s="23">
        <f>IF(Κανονικοποίηση!J$2=0, IF(Κανονικοποίηση!$D7=0, 1, 1/9), IF(Κανονικοποίηση!$D7=0, 9, MIN(MAX(Κανονικοποίηση!$D7/Κανονικοποίηση!J$2, 1/9), 9)))</f>
        <v>0.66666666666666663</v>
      </c>
      <c r="I84" s="74"/>
    </row>
    <row r="85" spans="1:9">
      <c r="A85" s="47" t="s">
        <v>17</v>
      </c>
      <c r="B85" s="23">
        <f>IF(Κανονικοποίηση!D$2=0, IF(Κανονικοποίηση!$D8=0, 1, 1/9), IF(Κανονικοποίηση!$D8=0, 9, MIN(MAX(Κανονικοποίηση!$D8/Κανονικοποίηση!D$2, 1/9), 9)))</f>
        <v>0.5</v>
      </c>
      <c r="C85" s="23">
        <f>IF(Κανονικοποίηση!E$2=0, IF(Κανονικοποίηση!$D8=0, 1, 1/9), IF(Κανονικοποίηση!$D8=0, 9, MIN(MAX(Κανονικοποίηση!$D8/Κανονικοποίηση!E$2, 1/9), 9)))</f>
        <v>0.5</v>
      </c>
      <c r="D85" s="23">
        <f>IF(Κανονικοποίηση!F$2=0, IF(Κανονικοποίηση!$D8=0, 1, 1/9), IF(Κανονικοποίηση!$D8=0, 9, MIN(MAX(Κανονικοποίηση!$D8/Κανονικοποίηση!F$2, 1/9), 9)))</f>
        <v>0.1111111111111111</v>
      </c>
      <c r="E85" s="23">
        <f>IF(Κανονικοποίηση!G$2=0, IF(Κανονικοποίηση!$D8=0, 1, 1/9), IF(Κανονικοποίηση!$D8=0, 9, MIN(MAX(Κανονικοποίηση!$D8/Κανονικοποίηση!G$2, 1/9), 9)))</f>
        <v>0.38095238095238093</v>
      </c>
      <c r="F85" s="23">
        <f>IF(Κανονικοποίηση!H$2=0, IF(Κανονικοποίηση!$D8=0, 1, 1/9), IF(Κανονικοποίηση!$D8=0, 9, MIN(MAX(Κανονικοποίηση!$D8/Κανονικοποίηση!H$2, 1/9), 9)))</f>
        <v>0.66666666666666663</v>
      </c>
      <c r="G85" s="23">
        <f>IF(Κανονικοποίηση!I$2=0, IF(Κανονικοποίηση!$D8=0, 1, 1/9), IF(Κανονικοποίηση!$D8=0, 9, MIN(MAX(Κανονικοποίηση!$D8/Κανονικοποίηση!I$2, 1/9), 9)))</f>
        <v>0.66666666666666663</v>
      </c>
      <c r="H85" s="23">
        <f>IF(Κανονικοποίηση!J$2=0, IF(Κανονικοποίηση!$D8=0, 1, 1/9), IF(Κανονικοποίηση!$D8=0, 9, MIN(MAX(Κανονικοποίηση!$D8/Κανονικοποίηση!J$2, 1/9), 9)))</f>
        <v>0.33333333333333331</v>
      </c>
      <c r="I85" s="74"/>
    </row>
    <row r="86" spans="1:9">
      <c r="A86" s="47" t="s">
        <v>75</v>
      </c>
      <c r="B86" s="14">
        <f>SUM(B79:B85)</f>
        <v>14.5</v>
      </c>
      <c r="C86" s="14">
        <f t="shared" ref="C86:H86" si="18">SUM(C79:C85)</f>
        <v>14.5</v>
      </c>
      <c r="D86" s="14">
        <f t="shared" si="18"/>
        <v>1.6666666666666667</v>
      </c>
      <c r="E86" s="14">
        <f t="shared" si="18"/>
        <v>13.190476190476192</v>
      </c>
      <c r="F86" s="14">
        <f t="shared" si="18"/>
        <v>16.333333333333332</v>
      </c>
      <c r="G86" s="14">
        <f t="shared" si="18"/>
        <v>16.333333333333332</v>
      </c>
      <c r="H86" s="14">
        <f t="shared" si="18"/>
        <v>12.666666666666666</v>
      </c>
      <c r="I86" s="75"/>
    </row>
    <row r="87" spans="1:9">
      <c r="A87" s="28"/>
      <c r="B87" s="29"/>
      <c r="C87" s="29"/>
      <c r="D87" s="29"/>
      <c r="E87" s="29"/>
      <c r="F87" s="29"/>
      <c r="G87" s="29"/>
      <c r="H87" s="29"/>
      <c r="I87" s="30"/>
    </row>
    <row r="88" spans="1:9">
      <c r="A88" s="77" t="s">
        <v>76</v>
      </c>
      <c r="B88" s="77"/>
      <c r="C88" s="77"/>
      <c r="D88" s="77"/>
      <c r="E88" s="77"/>
      <c r="F88" s="77"/>
      <c r="G88" s="77"/>
      <c r="H88" s="77"/>
      <c r="I88" s="77"/>
    </row>
    <row r="89" spans="1:9">
      <c r="A89" s="57" t="s">
        <v>23</v>
      </c>
      <c r="B89" s="56" t="s">
        <v>80</v>
      </c>
      <c r="C89" s="56" t="s">
        <v>81</v>
      </c>
      <c r="D89" s="56" t="s">
        <v>13</v>
      </c>
      <c r="E89" s="56" t="s">
        <v>14</v>
      </c>
      <c r="F89" s="56" t="s">
        <v>82</v>
      </c>
      <c r="G89" s="56" t="s">
        <v>83</v>
      </c>
      <c r="H89" s="56" t="s">
        <v>84</v>
      </c>
      <c r="I89" s="56" t="s">
        <v>77</v>
      </c>
    </row>
    <row r="90" spans="1:9">
      <c r="A90" s="47" t="s">
        <v>11</v>
      </c>
      <c r="B90" s="23">
        <f>(B79/B$86)</f>
        <v>6.8965517241379309E-2</v>
      </c>
      <c r="C90" s="23">
        <f t="shared" ref="C90:H90" si="19">(C79/C$86)</f>
        <v>6.8965517241379309E-2</v>
      </c>
      <c r="D90" s="23">
        <f t="shared" si="19"/>
        <v>6.6666666666666666E-2</v>
      </c>
      <c r="E90" s="23">
        <f t="shared" si="19"/>
        <v>5.7761732851985555E-2</v>
      </c>
      <c r="F90" s="23">
        <f t="shared" si="19"/>
        <v>8.1632653061224497E-2</v>
      </c>
      <c r="G90" s="23">
        <f t="shared" si="19"/>
        <v>8.1632653061224497E-2</v>
      </c>
      <c r="H90" s="23">
        <f t="shared" si="19"/>
        <v>5.2631578947368418E-2</v>
      </c>
      <c r="I90" s="14">
        <f>AVERAGE(B90:H90)</f>
        <v>6.8322331295889743E-2</v>
      </c>
    </row>
    <row r="91" spans="1:9">
      <c r="A91" s="47" t="s">
        <v>12</v>
      </c>
      <c r="B91" s="23">
        <f t="shared" ref="B91:H91" si="20">(B80/B$86)</f>
        <v>3.4482758620689655E-2</v>
      </c>
      <c r="C91" s="23">
        <f t="shared" si="20"/>
        <v>3.4482758620689655E-2</v>
      </c>
      <c r="D91" s="23">
        <f t="shared" si="20"/>
        <v>6.6666666666666666E-2</v>
      </c>
      <c r="E91" s="23">
        <f t="shared" si="20"/>
        <v>2.8880866425992777E-2</v>
      </c>
      <c r="F91" s="23">
        <f t="shared" si="20"/>
        <v>4.0816326530612249E-2</v>
      </c>
      <c r="G91" s="23">
        <f t="shared" si="20"/>
        <v>4.0816326530612249E-2</v>
      </c>
      <c r="H91" s="23">
        <f t="shared" si="20"/>
        <v>2.6315789473684209E-2</v>
      </c>
      <c r="I91" s="14">
        <f t="shared" ref="I91:I96" si="21">AVERAGE(B91:H91)</f>
        <v>3.8923070409849644E-2</v>
      </c>
    </row>
    <row r="92" spans="1:9">
      <c r="A92" s="47" t="s">
        <v>13</v>
      </c>
      <c r="B92" s="23">
        <f t="shared" ref="B92:H92" si="22">(B81/B$86)</f>
        <v>6.8965517241379309E-2</v>
      </c>
      <c r="C92" s="23">
        <f t="shared" si="22"/>
        <v>6.8965517241379309E-2</v>
      </c>
      <c r="D92" s="23">
        <f t="shared" si="22"/>
        <v>6.6666666666666666E-2</v>
      </c>
      <c r="E92" s="23">
        <f t="shared" si="22"/>
        <v>5.7761732851985555E-2</v>
      </c>
      <c r="F92" s="23">
        <f t="shared" si="22"/>
        <v>8.1632653061224497E-2</v>
      </c>
      <c r="G92" s="23">
        <f t="shared" si="22"/>
        <v>8.1632653061224497E-2</v>
      </c>
      <c r="H92" s="23">
        <f t="shared" si="22"/>
        <v>5.2631578947368418E-2</v>
      </c>
      <c r="I92" s="14">
        <f t="shared" si="21"/>
        <v>6.8322331295889743E-2</v>
      </c>
    </row>
    <row r="93" spans="1:9">
      <c r="A93" s="47" t="s">
        <v>14</v>
      </c>
      <c r="B93" s="23">
        <f t="shared" ref="B93:H93" si="23">(B82/B$86)</f>
        <v>0.10344827586206896</v>
      </c>
      <c r="C93" s="23">
        <f t="shared" si="23"/>
        <v>0.10344827586206896</v>
      </c>
      <c r="D93" s="23">
        <f t="shared" si="23"/>
        <v>6.6666666666666666E-2</v>
      </c>
      <c r="E93" s="23">
        <f t="shared" si="23"/>
        <v>8.6642599277978322E-2</v>
      </c>
      <c r="F93" s="23">
        <f t="shared" si="23"/>
        <v>0.12244897959183675</v>
      </c>
      <c r="G93" s="23">
        <f t="shared" si="23"/>
        <v>0.12244897959183675</v>
      </c>
      <c r="H93" s="23">
        <f t="shared" si="23"/>
        <v>7.8947368421052641E-2</v>
      </c>
      <c r="I93" s="14">
        <f t="shared" si="21"/>
        <v>9.772159218192987E-2</v>
      </c>
    </row>
    <row r="94" spans="1:9">
      <c r="A94" s="47" t="s">
        <v>15</v>
      </c>
      <c r="B94" s="23">
        <f t="shared" ref="B94:H94" si="24">(B83/B$86)</f>
        <v>0.62068965517241381</v>
      </c>
      <c r="C94" s="23">
        <f t="shared" si="24"/>
        <v>0.62068965517241381</v>
      </c>
      <c r="D94" s="23">
        <f t="shared" si="24"/>
        <v>0.6</v>
      </c>
      <c r="E94" s="23">
        <f t="shared" si="24"/>
        <v>0.68231046931407935</v>
      </c>
      <c r="F94" s="23">
        <f t="shared" si="24"/>
        <v>0.55102040816326536</v>
      </c>
      <c r="G94" s="23">
        <f t="shared" si="24"/>
        <v>0.55102040816326536</v>
      </c>
      <c r="H94" s="23">
        <f t="shared" si="24"/>
        <v>0.71052631578947367</v>
      </c>
      <c r="I94" s="14">
        <f t="shared" si="21"/>
        <v>0.61946527311070165</v>
      </c>
    </row>
    <row r="95" spans="1:9">
      <c r="A95" s="47" t="s">
        <v>16</v>
      </c>
      <c r="B95" s="23">
        <f>(B84/B$86)</f>
        <v>6.8965517241379309E-2</v>
      </c>
      <c r="C95" s="23">
        <f t="shared" ref="B95:H96" si="25">(C84/C$86)</f>
        <v>6.8965517241379309E-2</v>
      </c>
      <c r="D95" s="23">
        <f t="shared" si="25"/>
        <v>6.6666666666666666E-2</v>
      </c>
      <c r="E95" s="23">
        <f t="shared" si="25"/>
        <v>5.7761732851985555E-2</v>
      </c>
      <c r="F95" s="23">
        <f t="shared" si="25"/>
        <v>8.1632653061224497E-2</v>
      </c>
      <c r="G95" s="23">
        <f t="shared" si="25"/>
        <v>8.1632653061224497E-2</v>
      </c>
      <c r="H95" s="23">
        <f t="shared" si="25"/>
        <v>5.2631578947368418E-2</v>
      </c>
      <c r="I95" s="14">
        <f t="shared" si="21"/>
        <v>6.8322331295889743E-2</v>
      </c>
    </row>
    <row r="96" spans="1:9">
      <c r="A96" s="47" t="s">
        <v>17</v>
      </c>
      <c r="B96" s="23">
        <f>(B85/B$86)</f>
        <v>3.4482758620689655E-2</v>
      </c>
      <c r="C96" s="23">
        <f t="shared" si="25"/>
        <v>3.4482758620689655E-2</v>
      </c>
      <c r="D96" s="23">
        <f t="shared" si="25"/>
        <v>6.6666666666666666E-2</v>
      </c>
      <c r="E96" s="23">
        <f t="shared" si="25"/>
        <v>2.8880866425992777E-2</v>
      </c>
      <c r="F96" s="23">
        <f t="shared" si="25"/>
        <v>4.0816326530612249E-2</v>
      </c>
      <c r="G96" s="23">
        <f t="shared" si="25"/>
        <v>4.0816326530612249E-2</v>
      </c>
      <c r="H96" s="23">
        <f t="shared" si="25"/>
        <v>2.6315789473684209E-2</v>
      </c>
      <c r="I96" s="14">
        <f t="shared" ref="I96" si="26">AVERAGE(B96:H96)</f>
        <v>3.8923070409849644E-2</v>
      </c>
    </row>
    <row r="98" spans="1:9">
      <c r="A98" s="70" t="s">
        <v>87</v>
      </c>
      <c r="B98" s="71"/>
      <c r="C98" s="71"/>
      <c r="D98" s="71"/>
      <c r="E98" s="71"/>
      <c r="F98" s="71"/>
      <c r="G98" s="71"/>
      <c r="H98" s="71"/>
      <c r="I98" s="72"/>
    </row>
    <row r="99" spans="1:9">
      <c r="A99" s="57" t="s">
        <v>23</v>
      </c>
      <c r="B99" s="56" t="s">
        <v>80</v>
      </c>
      <c r="C99" s="56" t="s">
        <v>81</v>
      </c>
      <c r="D99" s="56" t="s">
        <v>13</v>
      </c>
      <c r="E99" s="56" t="s">
        <v>14</v>
      </c>
      <c r="F99" s="56" t="s">
        <v>82</v>
      </c>
      <c r="G99" s="56" t="s">
        <v>83</v>
      </c>
      <c r="H99" s="56" t="s">
        <v>84</v>
      </c>
      <c r="I99" s="73"/>
    </row>
    <row r="100" spans="1:9">
      <c r="A100" s="47" t="s">
        <v>11</v>
      </c>
      <c r="B100" s="23">
        <f>IF(Κανονικοποίηση!E$2=0, IF(Κανονικοποίηση!$E2=0, 1, 1/9), IF(Κανονικοποίηση!$E2=0, 9, MIN(MAX(Κανονικοποίηση!$E2/Κανονικοποίηση!E$2, 1/9), 9)))</f>
        <v>1</v>
      </c>
      <c r="C100" s="23">
        <f>IF(Κανονικοποίηση!F$2=0, IF(Κανονικοποίηση!$E2=0, 1, 1/9), IF(Κανονικοποίηση!$E2=0, 9, MIN(MAX(Κανονικοποίηση!$E2/Κανονικοποίηση!F$2, 1/9), 9)))</f>
        <v>0.1111111111111111</v>
      </c>
      <c r="D100" s="23">
        <f>IF(Κανονικοποίηση!G$2=0, IF(Κανονικοποίηση!$E2=0, 1, 1/9), IF(Κανονικοποίηση!$E2=0, 9, MIN(MAX(Κανονικοποίηση!$E2/Κανονικοποίηση!G$2, 1/9), 9)))</f>
        <v>0.76190476190476186</v>
      </c>
      <c r="E100" s="23">
        <f>IF(Κανονικοποίηση!H$2=0, IF(Κανονικοποίηση!$E2=0, 1, 1/9), IF(Κανονικοποίηση!$E2=0, 9, MIN(MAX(Κανονικοποίηση!$E2/Κανονικοποίηση!H$2, 1/9), 9)))</f>
        <v>1.3333333333333333</v>
      </c>
      <c r="F100" s="23">
        <f>IF(Κανονικοποίηση!I$2=0, IF(Κανονικοποίηση!$E2=0, 1, 1/9), IF(Κανονικοποίηση!$E2=0, 9, MIN(MAX(Κανονικοποίηση!$E2/Κανονικοποίηση!I$2, 1/9), 9)))</f>
        <v>1.3333333333333333</v>
      </c>
      <c r="G100" s="23">
        <f>IF(Κανονικοποίηση!J$2=0, IF(Κανονικοποίηση!$E2=0, 1, 1/9), IF(Κανονικοποίηση!$E2=0, 9, MIN(MAX(Κανονικοποίηση!$E2/Κανονικοποίηση!J$2, 1/9), 9)))</f>
        <v>0.66666666666666663</v>
      </c>
      <c r="H100" s="23">
        <f>IF(Κανονικοποίηση!K$2=0, IF(Κανονικοποίηση!$E2=0, 1, 1/9), IF(Κανονικοποίηση!$E2=0, 9, MIN(MAX(Κανονικοποίηση!$E2/Κανονικοποίηση!K$2, 1/9), 9)))</f>
        <v>1.4666666666666666</v>
      </c>
      <c r="I100" s="74"/>
    </row>
    <row r="101" spans="1:9">
      <c r="A101" s="47" t="s">
        <v>12</v>
      </c>
      <c r="B101" s="23">
        <f>IF(Κανονικοποίηση!E$2=0, IF(Κανονικοποίηση!$E3=0, 1, 1/9), IF(Κανονικοποίηση!$E3=0, 9, MIN(MAX(Κανονικοποίηση!$E3/Κανονικοποίηση!E$2, 1/9), 9)))</f>
        <v>0.5</v>
      </c>
      <c r="C101" s="23">
        <f>IF(Κανονικοποίηση!F$2=0, IF(Κανονικοποίηση!$E3=0, 1, 1/9), IF(Κανονικοποίηση!$E3=0, 9, MIN(MAX(Κανονικοποίηση!$E3/Κανονικοποίηση!F$2, 1/9), 9)))</f>
        <v>0.1111111111111111</v>
      </c>
      <c r="D101" s="23">
        <f>IF(Κανονικοποίηση!G$2=0, IF(Κανονικοποίηση!$E3=0, 1, 1/9), IF(Κανονικοποίηση!$E3=0, 9, MIN(MAX(Κανονικοποίηση!$E3/Κανονικοποίηση!G$2, 1/9), 9)))</f>
        <v>0.38095238095238093</v>
      </c>
      <c r="E101" s="23">
        <f>IF(Κανονικοποίηση!H$2=0, IF(Κανονικοποίηση!$E3=0, 1, 1/9), IF(Κανονικοποίηση!$E3=0, 9, MIN(MAX(Κανονικοποίηση!$E3/Κανονικοποίηση!H$2, 1/9), 9)))</f>
        <v>0.66666666666666663</v>
      </c>
      <c r="F101" s="23">
        <f>IF(Κανονικοποίηση!I$2=0, IF(Κανονικοποίηση!$E3=0, 1, 1/9), IF(Κανονικοποίηση!$E3=0, 9, MIN(MAX(Κανονικοποίηση!$E3/Κανονικοποίηση!I$2, 1/9), 9)))</f>
        <v>0.66666666666666663</v>
      </c>
      <c r="G101" s="23">
        <f>IF(Κανονικοποίηση!J$2=0, IF(Κανονικοποίηση!$E3=0, 1, 1/9), IF(Κανονικοποίηση!$E3=0, 9, MIN(MAX(Κανονικοποίηση!$E3/Κανονικοποίηση!J$2, 1/9), 9)))</f>
        <v>0.33333333333333331</v>
      </c>
      <c r="H101" s="23">
        <f>IF(Κανονικοποίηση!K$2=0, IF(Κανονικοποίηση!$E3=0, 1, 1/9), IF(Κανονικοποίηση!$E3=0, 9, MIN(MAX(Κανονικοποίηση!$E3/Κανονικοποίηση!K$2, 1/9), 9)))</f>
        <v>0.73333333333333328</v>
      </c>
      <c r="I101" s="74"/>
    </row>
    <row r="102" spans="1:9">
      <c r="A102" s="47" t="s">
        <v>13</v>
      </c>
      <c r="B102" s="23">
        <f>IF(Κανονικοποίηση!E$2=0, IF(Κανονικοποίηση!$E4=0, 1, 1/9), IF(Κανονικοποίηση!$E4=0, 9, MIN(MAX(Κανονικοποίηση!$E4/Κανονικοποίηση!E$2, 1/9), 9)))</f>
        <v>9</v>
      </c>
      <c r="C102" s="23">
        <f>IF(Κανονικοποίηση!F$2=0, IF(Κανονικοποίηση!$E4=0, 1, 1/9), IF(Κανονικοποίηση!$E4=0, 9, MIN(MAX(Κανονικοποίηση!$E4/Κανονικοποίηση!F$2, 1/9), 9)))</f>
        <v>1</v>
      </c>
      <c r="D102" s="23">
        <f>IF(Κανονικοποίηση!G$2=0, IF(Κανονικοποίηση!$E4=0, 1, 1/9), IF(Κανονικοποίηση!$E4=0, 9, MIN(MAX(Κανονικοποίηση!$E4/Κανονικοποίηση!G$2, 1/9), 9)))</f>
        <v>9</v>
      </c>
      <c r="E102" s="23">
        <f>IF(Κανονικοποίηση!H$2=0, IF(Κανονικοποίηση!$E4=0, 1, 1/9), IF(Κανονικοποίηση!$E4=0, 9, MIN(MAX(Κανονικοποίηση!$E4/Κανονικοποίηση!H$2, 1/9), 9)))</f>
        <v>9</v>
      </c>
      <c r="F102" s="23">
        <f>IF(Κανονικοποίηση!I$2=0, IF(Κανονικοποίηση!$E4=0, 1, 1/9), IF(Κανονικοποίηση!$E4=0, 9, MIN(MAX(Κανονικοποίηση!$E4/Κανονικοποίηση!I$2, 1/9), 9)))</f>
        <v>9</v>
      </c>
      <c r="G102" s="23">
        <f>IF(Κανονικοποίηση!J$2=0, IF(Κανονικοποίηση!$E4=0, 1, 1/9), IF(Κανονικοποίηση!$E4=0, 9, MIN(MAX(Κανονικοποίηση!$E4/Κανονικοποίηση!J$2, 1/9), 9)))</f>
        <v>9</v>
      </c>
      <c r="H102" s="23">
        <f>IF(Κανονικοποίηση!K$2=0, IF(Κανονικοποίηση!$E4=0, 1, 1/9), IF(Κανονικοποίηση!$E4=0, 9, MIN(MAX(Κανονικοποίηση!$E4/Κανονικοποίηση!K$2, 1/9), 9)))</f>
        <v>9</v>
      </c>
      <c r="I102" s="74"/>
    </row>
    <row r="103" spans="1:9">
      <c r="A103" s="47" t="s">
        <v>14</v>
      </c>
      <c r="B103" s="23">
        <f>IF(Κανονικοποίηση!E$2=0, IF(Κανονικοποίηση!$E5=0, 1, 1/9), IF(Κανονικοποίηση!$E5=0, 9, MIN(MAX(Κανονικοποίηση!$E5/Κανονικοποίηση!E$2, 1/9), 9)))</f>
        <v>1.5</v>
      </c>
      <c r="C103" s="23">
        <f>IF(Κανονικοποίηση!F$2=0, IF(Κανονικοποίηση!$E5=0, 1, 1/9), IF(Κανονικοποίηση!$E5=0, 9, MIN(MAX(Κανονικοποίηση!$E5/Κανονικοποίηση!F$2, 1/9), 9)))</f>
        <v>0.1111111111111111</v>
      </c>
      <c r="D103" s="23">
        <f>IF(Κανονικοποίηση!G$2=0, IF(Κανονικοποίηση!$E5=0, 1, 1/9), IF(Κανονικοποίηση!$E5=0, 9, MIN(MAX(Κανονικοποίηση!$E5/Κανονικοποίηση!G$2, 1/9), 9)))</f>
        <v>1.1428571428571428</v>
      </c>
      <c r="E103" s="23">
        <f>IF(Κανονικοποίηση!H$2=0, IF(Κανονικοποίηση!$E5=0, 1, 1/9), IF(Κανονικοποίηση!$E5=0, 9, MIN(MAX(Κανονικοποίηση!$E5/Κανονικοποίηση!H$2, 1/9), 9)))</f>
        <v>2</v>
      </c>
      <c r="F103" s="23">
        <f>IF(Κανονικοποίηση!I$2=0, IF(Κανονικοποίηση!$E5=0, 1, 1/9), IF(Κανονικοποίηση!$E5=0, 9, MIN(MAX(Κανονικοποίηση!$E5/Κανονικοποίηση!I$2, 1/9), 9)))</f>
        <v>2</v>
      </c>
      <c r="G103" s="23">
        <f>IF(Κανονικοποίηση!J$2=0, IF(Κανονικοποίηση!$E5=0, 1, 1/9), IF(Κανονικοποίηση!$E5=0, 9, MIN(MAX(Κανονικοποίηση!$E5/Κανονικοποίηση!J$2, 1/9), 9)))</f>
        <v>1</v>
      </c>
      <c r="H103" s="23">
        <f>IF(Κανονικοποίηση!K$2=0, IF(Κανονικοποίηση!$E5=0, 1, 1/9), IF(Κανονικοποίηση!$E5=0, 9, MIN(MAX(Κανονικοποίηση!$E5/Κανονικοποίηση!K$2, 1/9), 9)))</f>
        <v>2.2000000000000002</v>
      </c>
      <c r="I103" s="74"/>
    </row>
    <row r="104" spans="1:9">
      <c r="A104" s="47" t="s">
        <v>15</v>
      </c>
      <c r="B104" s="23">
        <f>IF(Κανονικοποίηση!E$2=0, IF(Κανονικοποίηση!$E6=0, 1, 1/9), IF(Κανονικοποίηση!$E6=0, 9, MIN(MAX(Κανονικοποίηση!$E6/Κανονικοποίηση!E$2, 1/9), 9)))</f>
        <v>9</v>
      </c>
      <c r="C104" s="23">
        <f>IF(Κανονικοποίηση!F$2=0, IF(Κανονικοποίηση!$E6=0, 1, 1/9), IF(Κανονικοποίηση!$E6=0, 9, MIN(MAX(Κανονικοποίηση!$E6/Κανονικοποίηση!F$2, 1/9), 9)))</f>
        <v>1</v>
      </c>
      <c r="D104" s="23">
        <f>IF(Κανονικοποίηση!G$2=0, IF(Κανονικοποίηση!$E6=0, 1, 1/9), IF(Κανονικοποίηση!$E6=0, 9, MIN(MAX(Κανονικοποίηση!$E6/Κανονικοποίηση!G$2, 1/9), 9)))</f>
        <v>9</v>
      </c>
      <c r="E104" s="23">
        <f>IF(Κανονικοποίηση!H$2=0, IF(Κανονικοποίηση!$E6=0, 1, 1/9), IF(Κανονικοποίηση!$E6=0, 9, MIN(MAX(Κανονικοποίηση!$E6/Κανονικοποίηση!H$2, 1/9), 9)))</f>
        <v>9</v>
      </c>
      <c r="F104" s="23">
        <f>IF(Κανονικοποίηση!I$2=0, IF(Κανονικοποίηση!$E6=0, 1, 1/9), IF(Κανονικοποίηση!$E6=0, 9, MIN(MAX(Κανονικοποίηση!$E6/Κανονικοποίηση!I$2, 1/9), 9)))</f>
        <v>9</v>
      </c>
      <c r="G104" s="23">
        <f>IF(Κανονικοποίηση!J$2=0, IF(Κανονικοποίηση!$E6=0, 1, 1/9), IF(Κανονικοποίηση!$E6=0, 9, MIN(MAX(Κανονικοποίηση!$E6/Κανονικοποίηση!J$2, 1/9), 9)))</f>
        <v>9</v>
      </c>
      <c r="H104" s="23">
        <f>IF(Κανονικοποίηση!K$2=0, IF(Κανονικοποίηση!$E6=0, 1, 1/9), IF(Κανονικοποίηση!$E6=0, 9, MIN(MAX(Κανονικοποίηση!$E6/Κανονικοποίηση!K$2, 1/9), 9)))</f>
        <v>9</v>
      </c>
      <c r="I104" s="74"/>
    </row>
    <row r="105" spans="1:9">
      <c r="A105" s="47" t="s">
        <v>16</v>
      </c>
      <c r="B105" s="23">
        <f>IF(Κανονικοποίηση!E$2=0, IF(Κανονικοποίηση!$E7=0, 1, 1/9), IF(Κανονικοποίηση!$E7=0, 9, MIN(MAX(Κανονικοποίηση!$E7/Κανονικοποίηση!E$2, 1/9), 9)))</f>
        <v>1.5</v>
      </c>
      <c r="C105" s="23">
        <f>IF(Κανονικοποίηση!F$2=0, IF(Κανονικοποίηση!$E7=0, 1, 1/9), IF(Κανονικοποίηση!$E7=0, 9, MIN(MAX(Κανονικοποίηση!$E7/Κανονικοποίηση!F$2, 1/9), 9)))</f>
        <v>0.1111111111111111</v>
      </c>
      <c r="D105" s="23">
        <f>IF(Κανονικοποίηση!G$2=0, IF(Κανονικοποίηση!$E7=0, 1, 1/9), IF(Κανονικοποίηση!$E7=0, 9, MIN(MAX(Κανονικοποίηση!$E7/Κανονικοποίηση!G$2, 1/9), 9)))</f>
        <v>1.1428571428571428</v>
      </c>
      <c r="E105" s="23">
        <f>IF(Κανονικοποίηση!H$2=0, IF(Κανονικοποίηση!$E7=0, 1, 1/9), IF(Κανονικοποίηση!$E7=0, 9, MIN(MAX(Κανονικοποίηση!$E7/Κανονικοποίηση!H$2, 1/9), 9)))</f>
        <v>2</v>
      </c>
      <c r="F105" s="23">
        <f>IF(Κανονικοποίηση!I$2=0, IF(Κανονικοποίηση!$E7=0, 1, 1/9), IF(Κανονικοποίηση!$E7=0, 9, MIN(MAX(Κανονικοποίηση!$E7/Κανονικοποίηση!I$2, 1/9), 9)))</f>
        <v>2</v>
      </c>
      <c r="G105" s="23">
        <f>IF(Κανονικοποίηση!J$2=0, IF(Κανονικοποίηση!$E7=0, 1, 1/9), IF(Κανονικοποίηση!$E7=0, 9, MIN(MAX(Κανονικοποίηση!$E7/Κανονικοποίηση!J$2, 1/9), 9)))</f>
        <v>1</v>
      </c>
      <c r="H105" s="23">
        <f>IF(Κανονικοποίηση!K$2=0, IF(Κανονικοποίηση!$E7=0, 1, 1/9), IF(Κανονικοποίηση!$E7=0, 9, MIN(MAX(Κανονικοποίηση!$E7/Κανονικοποίηση!K$2, 1/9), 9)))</f>
        <v>2.2000000000000002</v>
      </c>
      <c r="I105" s="74"/>
    </row>
    <row r="106" spans="1:9">
      <c r="A106" s="47" t="s">
        <v>17</v>
      </c>
      <c r="B106" s="23">
        <f>IF(Κανονικοποίηση!E$2=0, IF(Κανονικοποίηση!$E8=0, 1, 1/9), IF(Κανονικοποίηση!$E8=0, 9, MIN(MAX(Κανονικοποίηση!$E8/Κανονικοποίηση!E$2, 1/9), 9)))</f>
        <v>9</v>
      </c>
      <c r="C106" s="23">
        <f>IF(Κανονικοποίηση!F$2=0, IF(Κανονικοποίηση!$E8=0, 1, 1/9), IF(Κανονικοποίηση!$E8=0, 9, MIN(MAX(Κανονικοποίηση!$E8/Κανονικοποίηση!F$2, 1/9), 9)))</f>
        <v>1</v>
      </c>
      <c r="D106" s="23">
        <f>IF(Κανονικοποίηση!G$2=0, IF(Κανονικοποίηση!$E8=0, 1, 1/9), IF(Κανονικοποίηση!$E8=0, 9, MIN(MAX(Κανονικοποίηση!$E8/Κανονικοποίηση!G$2, 1/9), 9)))</f>
        <v>9</v>
      </c>
      <c r="E106" s="23">
        <f>IF(Κανονικοποίηση!H$2=0, IF(Κανονικοποίηση!$E8=0, 1, 1/9), IF(Κανονικοποίηση!$E8=0, 9, MIN(MAX(Κανονικοποίηση!$E8/Κανονικοποίηση!H$2, 1/9), 9)))</f>
        <v>9</v>
      </c>
      <c r="F106" s="23">
        <f>IF(Κανονικοποίηση!I$2=0, IF(Κανονικοποίηση!$E8=0, 1, 1/9), IF(Κανονικοποίηση!$E8=0, 9, MIN(MAX(Κανονικοποίηση!$E8/Κανονικοποίηση!I$2, 1/9), 9)))</f>
        <v>9</v>
      </c>
      <c r="G106" s="23">
        <f>IF(Κανονικοποίηση!J$2=0, IF(Κανονικοποίηση!$E8=0, 1, 1/9), IF(Κανονικοποίηση!$E8=0, 9, MIN(MAX(Κανονικοποίηση!$E8/Κανονικοποίηση!J$2, 1/9), 9)))</f>
        <v>9</v>
      </c>
      <c r="H106" s="23">
        <f>IF(Κανονικοποίηση!K$2=0, IF(Κανονικοποίηση!$E8=0, 1, 1/9), IF(Κανονικοποίηση!$E8=0, 9, MIN(MAX(Κανονικοποίηση!$E8/Κανονικοποίηση!K$2, 1/9), 9)))</f>
        <v>9</v>
      </c>
      <c r="I106" s="74"/>
    </row>
    <row r="107" spans="1:9">
      <c r="A107" s="47" t="s">
        <v>75</v>
      </c>
      <c r="B107" s="14">
        <f>SUM(B100:B106)</f>
        <v>31.5</v>
      </c>
      <c r="C107" s="14">
        <f t="shared" ref="C107:H107" si="27">SUM(C100:C106)</f>
        <v>3.4444444444444446</v>
      </c>
      <c r="D107" s="14">
        <f t="shared" si="27"/>
        <v>30.428571428571427</v>
      </c>
      <c r="E107" s="14">
        <f t="shared" si="27"/>
        <v>33</v>
      </c>
      <c r="F107" s="14">
        <f t="shared" si="27"/>
        <v>33</v>
      </c>
      <c r="G107" s="14">
        <f t="shared" si="27"/>
        <v>30</v>
      </c>
      <c r="H107" s="14">
        <f t="shared" si="27"/>
        <v>33.599999999999994</v>
      </c>
      <c r="I107" s="75"/>
    </row>
    <row r="108" spans="1:9">
      <c r="A108" s="28"/>
      <c r="B108" s="29"/>
      <c r="C108" s="29"/>
      <c r="D108" s="29"/>
      <c r="E108" s="29"/>
      <c r="F108" s="29"/>
      <c r="G108" s="29"/>
      <c r="H108" s="29"/>
      <c r="I108" s="30"/>
    </row>
    <row r="109" spans="1:9">
      <c r="A109" s="77" t="s">
        <v>76</v>
      </c>
      <c r="B109" s="77"/>
      <c r="C109" s="77"/>
      <c r="D109" s="77"/>
      <c r="E109" s="77"/>
      <c r="F109" s="77"/>
      <c r="G109" s="77"/>
      <c r="H109" s="77"/>
      <c r="I109" s="77"/>
    </row>
    <row r="110" spans="1:9">
      <c r="A110" s="57" t="s">
        <v>23</v>
      </c>
      <c r="B110" s="56" t="s">
        <v>80</v>
      </c>
      <c r="C110" s="56" t="s">
        <v>81</v>
      </c>
      <c r="D110" s="56" t="s">
        <v>13</v>
      </c>
      <c r="E110" s="56" t="s">
        <v>14</v>
      </c>
      <c r="F110" s="56" t="s">
        <v>82</v>
      </c>
      <c r="G110" s="56" t="s">
        <v>83</v>
      </c>
      <c r="H110" s="56" t="s">
        <v>84</v>
      </c>
      <c r="I110" s="56" t="s">
        <v>77</v>
      </c>
    </row>
    <row r="111" spans="1:9">
      <c r="A111" s="47" t="s">
        <v>11</v>
      </c>
      <c r="B111" s="23">
        <f>(B100/B$107)</f>
        <v>3.1746031746031744E-2</v>
      </c>
      <c r="C111" s="23">
        <f t="shared" ref="C111:H111" si="28">(C100/C$107)</f>
        <v>3.2258064516129031E-2</v>
      </c>
      <c r="D111" s="23">
        <f t="shared" si="28"/>
        <v>2.5039123630672927E-2</v>
      </c>
      <c r="E111" s="23">
        <f t="shared" si="28"/>
        <v>4.0404040404040401E-2</v>
      </c>
      <c r="F111" s="23">
        <f t="shared" si="28"/>
        <v>4.0404040404040401E-2</v>
      </c>
      <c r="G111" s="23">
        <f t="shared" si="28"/>
        <v>2.222222222222222E-2</v>
      </c>
      <c r="H111" s="23">
        <f t="shared" si="28"/>
        <v>4.3650793650793655E-2</v>
      </c>
      <c r="I111" s="14">
        <f>AVERAGE(B111:H111)</f>
        <v>3.3674902367704339E-2</v>
      </c>
    </row>
    <row r="112" spans="1:9">
      <c r="A112" s="47" t="s">
        <v>12</v>
      </c>
      <c r="B112" s="23">
        <f t="shared" ref="B112:H112" si="29">(B101/B$107)</f>
        <v>1.5873015873015872E-2</v>
      </c>
      <c r="C112" s="23">
        <f t="shared" si="29"/>
        <v>3.2258064516129031E-2</v>
      </c>
      <c r="D112" s="23">
        <f t="shared" si="29"/>
        <v>1.2519561815336464E-2</v>
      </c>
      <c r="E112" s="23">
        <f t="shared" si="29"/>
        <v>2.02020202020202E-2</v>
      </c>
      <c r="F112" s="23">
        <f t="shared" si="29"/>
        <v>2.02020202020202E-2</v>
      </c>
      <c r="G112" s="23">
        <f t="shared" si="29"/>
        <v>1.111111111111111E-2</v>
      </c>
      <c r="H112" s="23">
        <f t="shared" si="29"/>
        <v>2.1825396825396828E-2</v>
      </c>
      <c r="I112" s="14">
        <f t="shared" ref="I112:I117" si="30">AVERAGE(B112:H112)</f>
        <v>1.9141598649289958E-2</v>
      </c>
    </row>
    <row r="113" spans="1:9">
      <c r="A113" s="47" t="s">
        <v>13</v>
      </c>
      <c r="B113" s="23">
        <f t="shared" ref="B113:H113" si="31">(B102/B$107)</f>
        <v>0.2857142857142857</v>
      </c>
      <c r="C113" s="23">
        <f t="shared" si="31"/>
        <v>0.29032258064516125</v>
      </c>
      <c r="D113" s="23">
        <f t="shared" si="31"/>
        <v>0.29577464788732394</v>
      </c>
      <c r="E113" s="23">
        <f t="shared" si="31"/>
        <v>0.27272727272727271</v>
      </c>
      <c r="F113" s="23">
        <f t="shared" si="31"/>
        <v>0.27272727272727271</v>
      </c>
      <c r="G113" s="23">
        <f t="shared" si="31"/>
        <v>0.3</v>
      </c>
      <c r="H113" s="23">
        <f t="shared" si="31"/>
        <v>0.2678571428571429</v>
      </c>
      <c r="I113" s="14">
        <f t="shared" si="30"/>
        <v>0.28358902893692273</v>
      </c>
    </row>
    <row r="114" spans="1:9">
      <c r="A114" s="47" t="s">
        <v>14</v>
      </c>
      <c r="B114" s="23">
        <f t="shared" ref="B114:H114" si="32">(B103/B$107)</f>
        <v>4.7619047619047616E-2</v>
      </c>
      <c r="C114" s="23">
        <f t="shared" si="32"/>
        <v>3.2258064516129031E-2</v>
      </c>
      <c r="D114" s="23">
        <f t="shared" si="32"/>
        <v>3.7558685446009391E-2</v>
      </c>
      <c r="E114" s="23">
        <f t="shared" si="32"/>
        <v>6.0606060606060608E-2</v>
      </c>
      <c r="F114" s="23">
        <f t="shared" si="32"/>
        <v>6.0606060606060608E-2</v>
      </c>
      <c r="G114" s="23">
        <f t="shared" si="32"/>
        <v>3.3333333333333333E-2</v>
      </c>
      <c r="H114" s="23">
        <f t="shared" si="32"/>
        <v>6.5476190476190493E-2</v>
      </c>
      <c r="I114" s="14">
        <f t="shared" si="30"/>
        <v>4.820820608611872E-2</v>
      </c>
    </row>
    <row r="115" spans="1:9">
      <c r="A115" s="47" t="s">
        <v>15</v>
      </c>
      <c r="B115" s="23">
        <f t="shared" ref="B115:H115" si="33">(B104/B$107)</f>
        <v>0.2857142857142857</v>
      </c>
      <c r="C115" s="23">
        <f t="shared" si="33"/>
        <v>0.29032258064516125</v>
      </c>
      <c r="D115" s="23">
        <f t="shared" si="33"/>
        <v>0.29577464788732394</v>
      </c>
      <c r="E115" s="23">
        <f t="shared" si="33"/>
        <v>0.27272727272727271</v>
      </c>
      <c r="F115" s="23">
        <f t="shared" si="33"/>
        <v>0.27272727272727271</v>
      </c>
      <c r="G115" s="23">
        <f t="shared" si="33"/>
        <v>0.3</v>
      </c>
      <c r="H115" s="23">
        <f t="shared" si="33"/>
        <v>0.2678571428571429</v>
      </c>
      <c r="I115" s="14">
        <f t="shared" si="30"/>
        <v>0.28358902893692273</v>
      </c>
    </row>
    <row r="116" spans="1:9">
      <c r="A116" s="47" t="s">
        <v>16</v>
      </c>
      <c r="B116" s="23">
        <f t="shared" ref="B116:H117" si="34">(B105/B$107)</f>
        <v>4.7619047619047616E-2</v>
      </c>
      <c r="C116" s="23">
        <f t="shared" si="34"/>
        <v>3.2258064516129031E-2</v>
      </c>
      <c r="D116" s="23">
        <f t="shared" si="34"/>
        <v>3.7558685446009391E-2</v>
      </c>
      <c r="E116" s="23">
        <f t="shared" si="34"/>
        <v>6.0606060606060608E-2</v>
      </c>
      <c r="F116" s="23">
        <f t="shared" si="34"/>
        <v>6.0606060606060608E-2</v>
      </c>
      <c r="G116" s="23">
        <f t="shared" si="34"/>
        <v>3.3333333333333333E-2</v>
      </c>
      <c r="H116" s="23">
        <f t="shared" si="34"/>
        <v>6.5476190476190493E-2</v>
      </c>
      <c r="I116" s="14">
        <f t="shared" si="30"/>
        <v>4.820820608611872E-2</v>
      </c>
    </row>
    <row r="117" spans="1:9">
      <c r="A117" s="47" t="s">
        <v>17</v>
      </c>
      <c r="B117" s="23">
        <f t="shared" si="34"/>
        <v>0.2857142857142857</v>
      </c>
      <c r="C117" s="23">
        <f t="shared" si="34"/>
        <v>0.29032258064516125</v>
      </c>
      <c r="D117" s="23">
        <f t="shared" si="34"/>
        <v>0.29577464788732394</v>
      </c>
      <c r="E117" s="23">
        <f t="shared" si="34"/>
        <v>0.27272727272727271</v>
      </c>
      <c r="F117" s="23">
        <f t="shared" si="34"/>
        <v>0.27272727272727271</v>
      </c>
      <c r="G117" s="23">
        <f t="shared" si="34"/>
        <v>0.3</v>
      </c>
      <c r="H117" s="23">
        <f t="shared" si="34"/>
        <v>0.2678571428571429</v>
      </c>
      <c r="I117" s="14">
        <f t="shared" ref="I117" si="35">AVERAGE(B117:H117)</f>
        <v>0.28358902893692273</v>
      </c>
    </row>
    <row r="119" spans="1:9">
      <c r="A119" s="70" t="s">
        <v>88</v>
      </c>
      <c r="B119" s="71"/>
      <c r="C119" s="71"/>
      <c r="D119" s="71"/>
      <c r="E119" s="71"/>
      <c r="F119" s="71"/>
      <c r="G119" s="71"/>
      <c r="H119" s="71"/>
      <c r="I119" s="72"/>
    </row>
    <row r="120" spans="1:9">
      <c r="A120" s="57" t="s">
        <v>23</v>
      </c>
      <c r="B120" s="56" t="s">
        <v>80</v>
      </c>
      <c r="C120" s="56" t="s">
        <v>81</v>
      </c>
      <c r="D120" s="56" t="s">
        <v>13</v>
      </c>
      <c r="E120" s="56" t="s">
        <v>14</v>
      </c>
      <c r="F120" s="56" t="s">
        <v>82</v>
      </c>
      <c r="G120" s="56" t="s">
        <v>83</v>
      </c>
      <c r="H120" s="56" t="s">
        <v>84</v>
      </c>
      <c r="I120" s="73"/>
    </row>
    <row r="121" spans="1:9">
      <c r="A121" s="47" t="s">
        <v>11</v>
      </c>
      <c r="B121" s="23">
        <f>IF(Κανονικοποίηση!F$2=0, IF(Κανονικοποίηση!$F2=0, 1, 1/9), IF(Κανονικοποίηση!$F2=0, 9, MIN(MAX(Κανονικοποίηση!$F2/Κανονικοποίηση!F$2, 1/9), 9)))</f>
        <v>1</v>
      </c>
      <c r="C121" s="23">
        <f>IF(Κανονικοποίηση!G$2=0, IF(Κανονικοποίηση!$F2=0, 1, 1/9), IF(Κανονικοποίηση!$F2=0, 9, MIN(MAX(Κανονικοποίηση!$F2/Κανονικοποίηση!G$2, 1/9), 9)))</f>
        <v>9</v>
      </c>
      <c r="D121" s="23">
        <f>IF(Κανονικοποίηση!H$2=0, IF(Κανονικοποίηση!$F2=0, 1, 1/9), IF(Κανονικοποίηση!$F2=0, 9, MIN(MAX(Κανονικοποίηση!$F2/Κανονικοποίηση!H$2, 1/9), 9)))</f>
        <v>9</v>
      </c>
      <c r="E121" s="23">
        <f>IF(Κανονικοποίηση!I$2=0, IF(Κανονικοποίηση!$F2=0, 1, 1/9), IF(Κανονικοποίηση!$F2=0, 9, MIN(MAX(Κανονικοποίηση!$F2/Κανονικοποίηση!I$2, 1/9), 9)))</f>
        <v>9</v>
      </c>
      <c r="F121" s="23">
        <f>IF(Κανονικοποίηση!J$2=0, IF(Κανονικοποίηση!$F2=0, 1, 1/9), IF(Κανονικοποίηση!$F2=0, 9, MIN(MAX(Κανονικοποίηση!$F2/Κανονικοποίηση!J$2, 1/9), 9)))</f>
        <v>9</v>
      </c>
      <c r="G121" s="23">
        <f>IF(Κανονικοποίηση!K$2=0, IF(Κανονικοποίηση!$F2=0, 1, 1/9), IF(Κανονικοποίηση!$F2=0, 9, MIN(MAX(Κανονικοποίηση!$F2/Κανονικοποίηση!K$2, 1/9), 9)))</f>
        <v>9</v>
      </c>
      <c r="H121" s="23">
        <f>IF(Κανονικοποίηση!L$2=0, IF(Κανονικοποίηση!$F2=0, 1, 1/9), IF(Κανονικοποίηση!$F2=0, 9, MIN(MAX(Κανονικοποίηση!$F2/Κανονικοποίηση!L$2, 1/9), 9)))</f>
        <v>1</v>
      </c>
      <c r="I121" s="74"/>
    </row>
    <row r="122" spans="1:9">
      <c r="A122" s="47" t="s">
        <v>12</v>
      </c>
      <c r="B122" s="23">
        <f>IF(Κανονικοποίηση!F$2=0, IF(Κανονικοποίηση!$F3=0, 1, 1/9), IF(Κανονικοποίηση!$F3=0, 9, MIN(MAX(Κανονικοποίηση!$F3/Κανονικοποίηση!F$2, 1/9), 9)))</f>
        <v>1</v>
      </c>
      <c r="C122" s="23">
        <f>IF(Κανονικοποίηση!G$2=0, IF(Κανονικοποίηση!$F3=0, 1, 1/9), IF(Κανονικοποίηση!$F3=0, 9, MIN(MAX(Κανονικοποίηση!$F3/Κανονικοποίηση!G$2, 1/9), 9)))</f>
        <v>9</v>
      </c>
      <c r="D122" s="23">
        <f>IF(Κανονικοποίηση!H$2=0, IF(Κανονικοποίηση!$F3=0, 1, 1/9), IF(Κανονικοποίηση!$F3=0, 9, MIN(MAX(Κανονικοποίηση!$F3/Κανονικοποίηση!H$2, 1/9), 9)))</f>
        <v>9</v>
      </c>
      <c r="E122" s="23">
        <f>IF(Κανονικοποίηση!I$2=0, IF(Κανονικοποίηση!$F3=0, 1, 1/9), IF(Κανονικοποίηση!$F3=0, 9, MIN(MAX(Κανονικοποίηση!$F3/Κανονικοποίηση!I$2, 1/9), 9)))</f>
        <v>9</v>
      </c>
      <c r="F122" s="23">
        <f>IF(Κανονικοποίηση!J$2=0, IF(Κανονικοποίηση!$F3=0, 1, 1/9), IF(Κανονικοποίηση!$F3=0, 9, MIN(MAX(Κανονικοποίηση!$F3/Κανονικοποίηση!J$2, 1/9), 9)))</f>
        <v>9</v>
      </c>
      <c r="G122" s="23">
        <f>IF(Κανονικοποίηση!K$2=0, IF(Κανονικοποίηση!$F3=0, 1, 1/9), IF(Κανονικοποίηση!$F3=0, 9, MIN(MAX(Κανονικοποίηση!$F3/Κανονικοποίηση!K$2, 1/9), 9)))</f>
        <v>9</v>
      </c>
      <c r="H122" s="23">
        <f>IF(Κανονικοποίηση!L$2=0, IF(Κανονικοποίηση!$F3=0, 1, 1/9), IF(Κανονικοποίηση!$F3=0, 9, MIN(MAX(Κανονικοποίηση!$F3/Κανονικοποίηση!L$2, 1/9), 9)))</f>
        <v>1</v>
      </c>
      <c r="I122" s="74"/>
    </row>
    <row r="123" spans="1:9">
      <c r="A123" s="47" t="s">
        <v>13</v>
      </c>
      <c r="B123" s="23">
        <f>IF(Κανονικοποίηση!F$2=0, IF(Κανονικοποίηση!$F4=0, 1, 1/9), IF(Κανονικοποίηση!$F4=0, 9, MIN(MAX(Κανονικοποίηση!$F4/Κανονικοποίηση!F$2, 1/9), 9)))</f>
        <v>0.1111111111111111</v>
      </c>
      <c r="C123" s="23">
        <f>IF(Κανονικοποίηση!G$2=0, IF(Κανονικοποίηση!$F4=0, 1, 1/9), IF(Κανονικοποίηση!$F4=0, 9, MIN(MAX(Κανονικοποίηση!$F4/Κανονικοποίηση!G$2, 1/9), 9)))</f>
        <v>1.1428571428571428</v>
      </c>
      <c r="D123" s="23">
        <f>IF(Κανονικοποίηση!H$2=0, IF(Κανονικοποίηση!$F4=0, 1, 1/9), IF(Κανονικοποίηση!$F4=0, 9, MIN(MAX(Κανονικοποίηση!$F4/Κανονικοποίηση!H$2, 1/9), 9)))</f>
        <v>2</v>
      </c>
      <c r="E123" s="23">
        <f>IF(Κανονικοποίηση!I$2=0, IF(Κανονικοποίηση!$F4=0, 1, 1/9), IF(Κανονικοποίηση!$F4=0, 9, MIN(MAX(Κανονικοποίηση!$F4/Κανονικοποίηση!I$2, 1/9), 9)))</f>
        <v>2</v>
      </c>
      <c r="F123" s="23">
        <f>IF(Κανονικοποίηση!J$2=0, IF(Κανονικοποίηση!$F4=0, 1, 1/9), IF(Κανονικοποίηση!$F4=0, 9, MIN(MAX(Κανονικοποίηση!$F4/Κανονικοποίηση!J$2, 1/9), 9)))</f>
        <v>1</v>
      </c>
      <c r="G123" s="23">
        <f>IF(Κανονικοποίηση!K$2=0, IF(Κανονικοποίηση!$F4=0, 1, 1/9), IF(Κανονικοποίηση!$F4=0, 9, MIN(MAX(Κανονικοποίηση!$F4/Κανονικοποίηση!K$2, 1/9), 9)))</f>
        <v>2.2000000000000002</v>
      </c>
      <c r="H123" s="23">
        <f>IF(Κανονικοποίηση!L$2=0, IF(Κανονικοποίηση!$F4=0, 1, 1/9), IF(Κανονικοποίηση!$F4=0, 9, MIN(MAX(Κανονικοποίηση!$F4/Κανονικοποίηση!L$2, 1/9), 9)))</f>
        <v>0.1111111111111111</v>
      </c>
      <c r="I123" s="74"/>
    </row>
    <row r="124" spans="1:9">
      <c r="A124" s="47" t="s">
        <v>14</v>
      </c>
      <c r="B124" s="23">
        <f>IF(Κανονικοποίηση!F$2=0, IF(Κανονικοποίηση!$F5=0, 1, 1/9), IF(Κανονικοποίηση!$F5=0, 9, MIN(MAX(Κανονικοποίηση!$F5/Κανονικοποίηση!F$2, 1/9), 9)))</f>
        <v>0.1111111111111111</v>
      </c>
      <c r="C124" s="23">
        <f>IF(Κανονικοποίηση!G$2=0, IF(Κανονικοποίηση!$F5=0, 1, 1/9), IF(Κανονικοποίηση!$F5=0, 9, MIN(MAX(Κανονικοποίηση!$F5/Κανονικοποίηση!G$2, 1/9), 9)))</f>
        <v>1.1428571428571428</v>
      </c>
      <c r="D124" s="23">
        <f>IF(Κανονικοποίηση!H$2=0, IF(Κανονικοποίηση!$F5=0, 1, 1/9), IF(Κανονικοποίηση!$F5=0, 9, MIN(MAX(Κανονικοποίηση!$F5/Κανονικοποίηση!H$2, 1/9), 9)))</f>
        <v>2</v>
      </c>
      <c r="E124" s="23">
        <f>IF(Κανονικοποίηση!I$2=0, IF(Κανονικοποίηση!$F5=0, 1, 1/9), IF(Κανονικοποίηση!$F5=0, 9, MIN(MAX(Κανονικοποίηση!$F5/Κανονικοποίηση!I$2, 1/9), 9)))</f>
        <v>2</v>
      </c>
      <c r="F124" s="23">
        <f>IF(Κανονικοποίηση!J$2=0, IF(Κανονικοποίηση!$F5=0, 1, 1/9), IF(Κανονικοποίηση!$F5=0, 9, MIN(MAX(Κανονικοποίηση!$F5/Κανονικοποίηση!J$2, 1/9), 9)))</f>
        <v>1</v>
      </c>
      <c r="G124" s="23">
        <f>IF(Κανονικοποίηση!K$2=0, IF(Κανονικοποίηση!$F5=0, 1, 1/9), IF(Κανονικοποίηση!$F5=0, 9, MIN(MAX(Κανονικοποίηση!$F5/Κανονικοποίηση!K$2, 1/9), 9)))</f>
        <v>2.2000000000000002</v>
      </c>
      <c r="H124" s="23">
        <f>IF(Κανονικοποίηση!L$2=0, IF(Κανονικοποίηση!$F5=0, 1, 1/9), IF(Κανονικοποίηση!$F5=0, 9, MIN(MAX(Κανονικοποίηση!$F5/Κανονικοποίηση!L$2, 1/9), 9)))</f>
        <v>0.1111111111111111</v>
      </c>
      <c r="I124" s="74"/>
    </row>
    <row r="125" spans="1:9">
      <c r="A125" s="47" t="s">
        <v>15</v>
      </c>
      <c r="B125" s="23">
        <f>IF(Κανονικοποίηση!F$2=0, IF(Κανονικοποίηση!$F6=0, 1, 1/9), IF(Κανονικοποίηση!$F6=0, 9, MIN(MAX(Κανονικοποίηση!$F6/Κανονικοποίηση!F$2, 1/9), 9)))</f>
        <v>1</v>
      </c>
      <c r="C125" s="23">
        <f>IF(Κανονικοποίηση!G$2=0, IF(Κανονικοποίηση!$F6=0, 1, 1/9), IF(Κανονικοποίηση!$F6=0, 9, MIN(MAX(Κανονικοποίηση!$F6/Κανονικοποίηση!G$2, 1/9), 9)))</f>
        <v>9</v>
      </c>
      <c r="D125" s="23">
        <f>IF(Κανονικοποίηση!H$2=0, IF(Κανονικοποίηση!$F6=0, 1, 1/9), IF(Κανονικοποίηση!$F6=0, 9, MIN(MAX(Κανονικοποίηση!$F6/Κανονικοποίηση!H$2, 1/9), 9)))</f>
        <v>9</v>
      </c>
      <c r="E125" s="23">
        <f>IF(Κανονικοποίηση!I$2=0, IF(Κανονικοποίηση!$F6=0, 1, 1/9), IF(Κανονικοποίηση!$F6=0, 9, MIN(MAX(Κανονικοποίηση!$F6/Κανονικοποίηση!I$2, 1/9), 9)))</f>
        <v>9</v>
      </c>
      <c r="F125" s="23">
        <f>IF(Κανονικοποίηση!J$2=0, IF(Κανονικοποίηση!$F6=0, 1, 1/9), IF(Κανονικοποίηση!$F6=0, 9, MIN(MAX(Κανονικοποίηση!$F6/Κανονικοποίηση!J$2, 1/9), 9)))</f>
        <v>9</v>
      </c>
      <c r="G125" s="23">
        <f>IF(Κανονικοποίηση!K$2=0, IF(Κανονικοποίηση!$F6=0, 1, 1/9), IF(Κανονικοποίηση!$F6=0, 9, MIN(MAX(Κανονικοποίηση!$F6/Κανονικοποίηση!K$2, 1/9), 9)))</f>
        <v>9</v>
      </c>
      <c r="H125" s="23">
        <f>IF(Κανονικοποίηση!L$2=0, IF(Κανονικοποίηση!$F6=0, 1, 1/9), IF(Κανονικοποίηση!$F6=0, 9, MIN(MAX(Κανονικοποίηση!$F6/Κανονικοποίηση!L$2, 1/9), 9)))</f>
        <v>1</v>
      </c>
      <c r="I125" s="74"/>
    </row>
    <row r="126" spans="1:9">
      <c r="A126" s="47" t="s">
        <v>16</v>
      </c>
      <c r="B126" s="23">
        <f>IF(Κανονικοποίηση!F$2=0, IF(Κανονικοποίηση!$F7=0, 1, 1/9), IF(Κανονικοποίηση!$F7=0, 9, MIN(MAX(Κανονικοποίηση!$F7/Κανονικοποίηση!F$2, 1/9), 9)))</f>
        <v>0.1111111111111111</v>
      </c>
      <c r="C126" s="23">
        <f>IF(Κανονικοποίηση!G$2=0, IF(Κανονικοποίηση!$F7=0, 1, 1/9), IF(Κανονικοποίηση!$F7=0, 9, MIN(MAX(Κανονικοποίηση!$F7/Κανονικοποίηση!G$2, 1/9), 9)))</f>
        <v>1.1428571428571428</v>
      </c>
      <c r="D126" s="23">
        <f>IF(Κανονικοποίηση!H$2=0, IF(Κανονικοποίηση!$F7=0, 1, 1/9), IF(Κανονικοποίηση!$F7=0, 9, MIN(MAX(Κανονικοποίηση!$F7/Κανονικοποίηση!H$2, 1/9), 9)))</f>
        <v>2</v>
      </c>
      <c r="E126" s="23">
        <f>IF(Κανονικοποίηση!I$2=0, IF(Κανονικοποίηση!$F7=0, 1, 1/9), IF(Κανονικοποίηση!$F7=0, 9, MIN(MAX(Κανονικοποίηση!$F7/Κανονικοποίηση!I$2, 1/9), 9)))</f>
        <v>2</v>
      </c>
      <c r="F126" s="23">
        <f>IF(Κανονικοποίηση!J$2=0, IF(Κανονικοποίηση!$F7=0, 1, 1/9), IF(Κανονικοποίηση!$F7=0, 9, MIN(MAX(Κανονικοποίηση!$F7/Κανονικοποίηση!J$2, 1/9), 9)))</f>
        <v>1</v>
      </c>
      <c r="G126" s="23">
        <f>IF(Κανονικοποίηση!K$2=0, IF(Κανονικοποίηση!$F7=0, 1, 1/9), IF(Κανονικοποίηση!$F7=0, 9, MIN(MAX(Κανονικοποίηση!$F7/Κανονικοποίηση!K$2, 1/9), 9)))</f>
        <v>2.2000000000000002</v>
      </c>
      <c r="H126" s="23">
        <f>IF(Κανονικοποίηση!L$2=0, IF(Κανονικοποίηση!$F7=0, 1, 1/9), IF(Κανονικοποίηση!$F7=0, 9, MIN(MAX(Κανονικοποίηση!$F7/Κανονικοποίηση!L$2, 1/9), 9)))</f>
        <v>0.1111111111111111</v>
      </c>
      <c r="I126" s="74"/>
    </row>
    <row r="127" spans="1:9">
      <c r="A127" s="47" t="s">
        <v>17</v>
      </c>
      <c r="B127" s="23">
        <f>IF(Κανονικοποίηση!F$2=0, IF(Κανονικοποίηση!$F8=0, 1, 1/9), IF(Κανονικοποίηση!$F8=0, 9, MIN(MAX(Κανονικοποίηση!$F8/Κανονικοποίηση!F$2, 1/9), 9)))</f>
        <v>1</v>
      </c>
      <c r="C127" s="23">
        <f>IF(Κανονικοποίηση!G$2=0, IF(Κανονικοποίηση!$F8=0, 1, 1/9), IF(Κανονικοποίηση!$F8=0, 9, MIN(MAX(Κανονικοποίηση!$F8/Κανονικοποίηση!G$2, 1/9), 9)))</f>
        <v>9</v>
      </c>
      <c r="D127" s="23">
        <f>IF(Κανονικοποίηση!H$2=0, IF(Κανονικοποίηση!$F8=0, 1, 1/9), IF(Κανονικοποίηση!$F8=0, 9, MIN(MAX(Κανονικοποίηση!$F8/Κανονικοποίηση!H$2, 1/9), 9)))</f>
        <v>9</v>
      </c>
      <c r="E127" s="23">
        <f>IF(Κανονικοποίηση!I$2=0, IF(Κανονικοποίηση!$F8=0, 1, 1/9), IF(Κανονικοποίηση!$F8=0, 9, MIN(MAX(Κανονικοποίηση!$F8/Κανονικοποίηση!I$2, 1/9), 9)))</f>
        <v>9</v>
      </c>
      <c r="F127" s="23">
        <f>IF(Κανονικοποίηση!J$2=0, IF(Κανονικοποίηση!$F8=0, 1, 1/9), IF(Κανονικοποίηση!$F8=0, 9, MIN(MAX(Κανονικοποίηση!$F8/Κανονικοποίηση!J$2, 1/9), 9)))</f>
        <v>9</v>
      </c>
      <c r="G127" s="23">
        <f>IF(Κανονικοποίηση!K$2=0, IF(Κανονικοποίηση!$F8=0, 1, 1/9), IF(Κανονικοποίηση!$F8=0, 9, MIN(MAX(Κανονικοποίηση!$F8/Κανονικοποίηση!K$2, 1/9), 9)))</f>
        <v>9</v>
      </c>
      <c r="H127" s="23">
        <f>IF(Κανονικοποίηση!L$2=0, IF(Κανονικοποίηση!$F8=0, 1, 1/9), IF(Κανονικοποίηση!$F8=0, 9, MIN(MAX(Κανονικοποίηση!$F8/Κανονικοποίηση!L$2, 1/9), 9)))</f>
        <v>1</v>
      </c>
      <c r="I127" s="74"/>
    </row>
    <row r="128" spans="1:9">
      <c r="A128" s="47" t="s">
        <v>75</v>
      </c>
      <c r="B128" s="14">
        <f>SUM(B121:B127)</f>
        <v>4.3333333333333339</v>
      </c>
      <c r="C128" s="14">
        <f t="shared" ref="C128:H128" si="36">SUM(C121:C127)</f>
        <v>39.428571428571431</v>
      </c>
      <c r="D128" s="14">
        <f t="shared" si="36"/>
        <v>42</v>
      </c>
      <c r="E128" s="14">
        <f t="shared" si="36"/>
        <v>42</v>
      </c>
      <c r="F128" s="14">
        <f t="shared" si="36"/>
        <v>39</v>
      </c>
      <c r="G128" s="14">
        <f t="shared" si="36"/>
        <v>42.6</v>
      </c>
      <c r="H128" s="14">
        <f t="shared" si="36"/>
        <v>4.3333333333333339</v>
      </c>
      <c r="I128" s="75"/>
    </row>
    <row r="129" spans="1:9">
      <c r="A129" s="28"/>
      <c r="B129" s="29"/>
      <c r="C129" s="29"/>
      <c r="D129" s="29"/>
      <c r="E129" s="29"/>
      <c r="F129" s="29"/>
      <c r="G129" s="29"/>
      <c r="H129" s="29"/>
      <c r="I129" s="30"/>
    </row>
    <row r="130" spans="1:9">
      <c r="A130" s="77" t="s">
        <v>76</v>
      </c>
      <c r="B130" s="77"/>
      <c r="C130" s="77"/>
      <c r="D130" s="77"/>
      <c r="E130" s="77"/>
      <c r="F130" s="77"/>
      <c r="G130" s="77"/>
      <c r="H130" s="77"/>
      <c r="I130" s="77"/>
    </row>
    <row r="131" spans="1:9">
      <c r="A131" s="57" t="s">
        <v>23</v>
      </c>
      <c r="B131" s="56" t="s">
        <v>80</v>
      </c>
      <c r="C131" s="56" t="s">
        <v>81</v>
      </c>
      <c r="D131" s="56" t="s">
        <v>13</v>
      </c>
      <c r="E131" s="56" t="s">
        <v>14</v>
      </c>
      <c r="F131" s="56" t="s">
        <v>82</v>
      </c>
      <c r="G131" s="56" t="s">
        <v>83</v>
      </c>
      <c r="H131" s="56" t="s">
        <v>84</v>
      </c>
      <c r="I131" s="56" t="s">
        <v>77</v>
      </c>
    </row>
    <row r="132" spans="1:9">
      <c r="A132" s="47" t="s">
        <v>11</v>
      </c>
      <c r="B132" s="23">
        <f>(B121/B$128)</f>
        <v>0.23076923076923073</v>
      </c>
      <c r="C132" s="23">
        <f t="shared" ref="C132:H132" si="37">(C121/C$128)</f>
        <v>0.22826086956521738</v>
      </c>
      <c r="D132" s="23">
        <f t="shared" si="37"/>
        <v>0.21428571428571427</v>
      </c>
      <c r="E132" s="23">
        <f t="shared" si="37"/>
        <v>0.21428571428571427</v>
      </c>
      <c r="F132" s="23">
        <f t="shared" si="37"/>
        <v>0.23076923076923078</v>
      </c>
      <c r="G132" s="23">
        <f t="shared" si="37"/>
        <v>0.21126760563380281</v>
      </c>
      <c r="H132" s="23">
        <f t="shared" si="37"/>
        <v>0.23076923076923073</v>
      </c>
      <c r="I132" s="14">
        <f>AVERAGE(B132:H132)</f>
        <v>0.22291537086830587</v>
      </c>
    </row>
    <row r="133" spans="1:9">
      <c r="A133" s="47" t="s">
        <v>12</v>
      </c>
      <c r="B133" s="23">
        <f t="shared" ref="B133:H133" si="38">(B122/B$128)</f>
        <v>0.23076923076923073</v>
      </c>
      <c r="C133" s="23">
        <f t="shared" si="38"/>
        <v>0.22826086956521738</v>
      </c>
      <c r="D133" s="23">
        <f t="shared" si="38"/>
        <v>0.21428571428571427</v>
      </c>
      <c r="E133" s="23">
        <f t="shared" si="38"/>
        <v>0.21428571428571427</v>
      </c>
      <c r="F133" s="23">
        <f t="shared" si="38"/>
        <v>0.23076923076923078</v>
      </c>
      <c r="G133" s="23">
        <f t="shared" si="38"/>
        <v>0.21126760563380281</v>
      </c>
      <c r="H133" s="23">
        <f t="shared" si="38"/>
        <v>0.23076923076923073</v>
      </c>
      <c r="I133" s="14">
        <f t="shared" ref="I133:I138" si="39">AVERAGE(B133:H133)</f>
        <v>0.22291537086830587</v>
      </c>
    </row>
    <row r="134" spans="1:9">
      <c r="A134" s="47" t="s">
        <v>13</v>
      </c>
      <c r="B134" s="23">
        <f t="shared" ref="B134:H134" si="40">(B123/B$128)</f>
        <v>2.5641025641025637E-2</v>
      </c>
      <c r="C134" s="23">
        <f t="shared" si="40"/>
        <v>2.8985507246376808E-2</v>
      </c>
      <c r="D134" s="23">
        <f t="shared" si="40"/>
        <v>4.7619047619047616E-2</v>
      </c>
      <c r="E134" s="23">
        <f t="shared" si="40"/>
        <v>4.7619047619047616E-2</v>
      </c>
      <c r="F134" s="23">
        <f t="shared" si="40"/>
        <v>2.564102564102564E-2</v>
      </c>
      <c r="G134" s="23">
        <f t="shared" si="40"/>
        <v>5.1643192488262914E-2</v>
      </c>
      <c r="H134" s="23">
        <f t="shared" si="40"/>
        <v>2.5641025641025637E-2</v>
      </c>
      <c r="I134" s="14">
        <f t="shared" si="39"/>
        <v>3.611283884225884E-2</v>
      </c>
    </row>
    <row r="135" spans="1:9">
      <c r="A135" s="47" t="s">
        <v>14</v>
      </c>
      <c r="B135" s="23">
        <f t="shared" ref="B135:H135" si="41">(B124/B$128)</f>
        <v>2.5641025641025637E-2</v>
      </c>
      <c r="C135" s="23">
        <f t="shared" si="41"/>
        <v>2.8985507246376808E-2</v>
      </c>
      <c r="D135" s="23">
        <f t="shared" si="41"/>
        <v>4.7619047619047616E-2</v>
      </c>
      <c r="E135" s="23">
        <f t="shared" si="41"/>
        <v>4.7619047619047616E-2</v>
      </c>
      <c r="F135" s="23">
        <f t="shared" si="41"/>
        <v>2.564102564102564E-2</v>
      </c>
      <c r="G135" s="23">
        <f t="shared" si="41"/>
        <v>5.1643192488262914E-2</v>
      </c>
      <c r="H135" s="23">
        <f t="shared" si="41"/>
        <v>2.5641025641025637E-2</v>
      </c>
      <c r="I135" s="14">
        <f t="shared" si="39"/>
        <v>3.611283884225884E-2</v>
      </c>
    </row>
    <row r="136" spans="1:9">
      <c r="A136" s="47" t="s">
        <v>15</v>
      </c>
      <c r="B136" s="23">
        <f t="shared" ref="B136:H136" si="42">(B125/B$128)</f>
        <v>0.23076923076923073</v>
      </c>
      <c r="C136" s="23">
        <f t="shared" si="42"/>
        <v>0.22826086956521738</v>
      </c>
      <c r="D136" s="23">
        <f t="shared" si="42"/>
        <v>0.21428571428571427</v>
      </c>
      <c r="E136" s="23">
        <f t="shared" si="42"/>
        <v>0.21428571428571427</v>
      </c>
      <c r="F136" s="23">
        <f t="shared" si="42"/>
        <v>0.23076923076923078</v>
      </c>
      <c r="G136" s="23">
        <f t="shared" si="42"/>
        <v>0.21126760563380281</v>
      </c>
      <c r="H136" s="23">
        <f t="shared" si="42"/>
        <v>0.23076923076923073</v>
      </c>
      <c r="I136" s="14">
        <f t="shared" si="39"/>
        <v>0.22291537086830587</v>
      </c>
    </row>
    <row r="137" spans="1:9">
      <c r="A137" s="47" t="s">
        <v>16</v>
      </c>
      <c r="B137" s="23">
        <f t="shared" ref="B137:H138" si="43">(B126/B$128)</f>
        <v>2.5641025641025637E-2</v>
      </c>
      <c r="C137" s="23">
        <f t="shared" si="43"/>
        <v>2.8985507246376808E-2</v>
      </c>
      <c r="D137" s="23">
        <f t="shared" si="43"/>
        <v>4.7619047619047616E-2</v>
      </c>
      <c r="E137" s="23">
        <f t="shared" si="43"/>
        <v>4.7619047619047616E-2</v>
      </c>
      <c r="F137" s="23">
        <f t="shared" si="43"/>
        <v>2.564102564102564E-2</v>
      </c>
      <c r="G137" s="23">
        <f t="shared" si="43"/>
        <v>5.1643192488262914E-2</v>
      </c>
      <c r="H137" s="23">
        <f t="shared" si="43"/>
        <v>2.5641025641025637E-2</v>
      </c>
      <c r="I137" s="14">
        <f t="shared" si="39"/>
        <v>3.611283884225884E-2</v>
      </c>
    </row>
    <row r="138" spans="1:9">
      <c r="A138" s="47" t="s">
        <v>17</v>
      </c>
      <c r="B138" s="23">
        <f t="shared" si="43"/>
        <v>0.23076923076923073</v>
      </c>
      <c r="C138" s="23">
        <f t="shared" si="43"/>
        <v>0.22826086956521738</v>
      </c>
      <c r="D138" s="23">
        <f t="shared" si="43"/>
        <v>0.21428571428571427</v>
      </c>
      <c r="E138" s="23">
        <f t="shared" si="43"/>
        <v>0.21428571428571427</v>
      </c>
      <c r="F138" s="23">
        <f t="shared" si="43"/>
        <v>0.23076923076923078</v>
      </c>
      <c r="G138" s="23">
        <f t="shared" si="43"/>
        <v>0.21126760563380281</v>
      </c>
      <c r="H138" s="23">
        <f t="shared" si="43"/>
        <v>0.23076923076923073</v>
      </c>
      <c r="I138" s="14">
        <f t="shared" ref="I138" si="44">AVERAGE(B138:H138)</f>
        <v>0.22291537086830587</v>
      </c>
    </row>
    <row r="140" spans="1:9">
      <c r="A140" s="70" t="s">
        <v>89</v>
      </c>
      <c r="B140" s="71"/>
      <c r="C140" s="71"/>
      <c r="D140" s="71"/>
      <c r="E140" s="71"/>
      <c r="F140" s="71"/>
      <c r="G140" s="71"/>
      <c r="H140" s="71"/>
      <c r="I140" s="72"/>
    </row>
    <row r="141" spans="1:9">
      <c r="A141" s="57" t="s">
        <v>23</v>
      </c>
      <c r="B141" s="56" t="s">
        <v>80</v>
      </c>
      <c r="C141" s="56" t="s">
        <v>81</v>
      </c>
      <c r="D141" s="56" t="s">
        <v>13</v>
      </c>
      <c r="E141" s="56" t="s">
        <v>14</v>
      </c>
      <c r="F141" s="56" t="s">
        <v>82</v>
      </c>
      <c r="G141" s="56" t="s">
        <v>83</v>
      </c>
      <c r="H141" s="56" t="s">
        <v>84</v>
      </c>
      <c r="I141" s="73"/>
    </row>
    <row r="142" spans="1:9">
      <c r="A142" s="47" t="s">
        <v>11</v>
      </c>
      <c r="B142" s="23">
        <f>IF(Κανονικοποίηση!G$2=0, IF(Κανονικοποίηση!$G2=0, 1, 1/9), IF(Κανονικοποίηση!$G2=0, 9, MIN(MAX(Κανονικοποίηση!G$2/Κανονικοποίηση!$G2, 1/9), 9)))</f>
        <v>1</v>
      </c>
      <c r="C142" s="23">
        <f>IF(Κανονικοποίηση!H$2=0, IF(Κανονικοποίηση!$G2=0, 1, 1/9), IF(Κανονικοποίηση!$G2=0, 9, MIN(MAX(Κανονικοποίηση!H$2/Κανονικοποίηση!$G2, 1/9), 9)))</f>
        <v>0.5714285714285714</v>
      </c>
      <c r="D142" s="23">
        <f>IF(Κανονικοποίηση!I$2=0, IF(Κανονικοποίηση!$G2=0, 1, 1/9), IF(Κανονικοποίηση!$G2=0, 9, MIN(MAX(Κανονικοποίηση!I$2/Κανονικοποίηση!$G2, 1/9), 9)))</f>
        <v>0.5714285714285714</v>
      </c>
      <c r="E142" s="23">
        <f>IF(Κανονικοποίηση!J$2=0, IF(Κανονικοποίηση!$G2=0, 1, 1/9), IF(Κανονικοποίηση!$G2=0, 9, MIN(MAX(Κανονικοποίηση!J$2/Κανονικοποίηση!$G2, 1/9), 9)))</f>
        <v>1.1428571428571428</v>
      </c>
      <c r="F142" s="23">
        <f>IF(Κανονικοποίηση!K$2=0, IF(Κανονικοποίηση!$G2=0, 1, 1/9), IF(Κανονικοποίηση!$G2=0, 9, MIN(MAX(Κανονικοποίηση!K$2/Κανονικοποίηση!$G2, 1/9), 9)))</f>
        <v>0.51948051948051943</v>
      </c>
      <c r="G142" s="23">
        <f>IF(Κανονικοποίηση!L$2=0, IF(Κανονικοποίηση!$G2=0, 1, 1/9), IF(Κανονικοποίηση!$G2=0, 9, MIN(MAX(Κανονικοποίηση!L$2/Κανονικοποίηση!$G2, 1/9), 9)))</f>
        <v>0.1111111111111111</v>
      </c>
      <c r="H142" s="23">
        <f>IF(Κανονικοποίηση!M$2=0, IF(Κανονικοποίηση!$G2=0, 1, 1/9), IF(Κανονικοποίηση!$G2=0, 9, MIN(MAX(Κανονικοποίηση!M$2/Κανονικοποίηση!$G2, 1/9), 9)))</f>
        <v>0.1111111111111111</v>
      </c>
      <c r="I142" s="74"/>
    </row>
    <row r="143" spans="1:9">
      <c r="A143" s="47" t="s">
        <v>12</v>
      </c>
      <c r="B143" s="23">
        <f>IF(Κανονικοποίηση!G$2=0, IF(Κανονικοποίηση!$G3=0, 1, 1/9), IF(Κανονικοποίηση!$G3=0, 9, MIN(MAX(Κανονικοποίηση!G$2/Κανονικοποίηση!$G3, 1/9), 9)))</f>
        <v>1.75</v>
      </c>
      <c r="C143" s="23">
        <f>IF(Κανονικοποίηση!H$2=0, IF(Κανονικοποίηση!$G3=0, 1, 1/9), IF(Κανονικοποίηση!$G3=0, 9, MIN(MAX(Κανονικοποίηση!H$2/Κανονικοποίηση!$G3, 1/9), 9)))</f>
        <v>1</v>
      </c>
      <c r="D143" s="23">
        <f>IF(Κανονικοποίηση!I$2=0, IF(Κανονικοποίηση!$G3=0, 1, 1/9), IF(Κανονικοποίηση!$G3=0, 9, MIN(MAX(Κανονικοποίηση!I$2/Κανονικοποίηση!$G3, 1/9), 9)))</f>
        <v>1</v>
      </c>
      <c r="E143" s="23">
        <f>IF(Κανονικοποίηση!J$2=0, IF(Κανονικοποίηση!$G3=0, 1, 1/9), IF(Κανονικοποίηση!$G3=0, 9, MIN(MAX(Κανονικοποίηση!J$2/Κανονικοποίηση!$G3, 1/9), 9)))</f>
        <v>2</v>
      </c>
      <c r="F143" s="23">
        <f>IF(Κανονικοποίηση!K$2=0, IF(Κανονικοποίηση!$G3=0, 1, 1/9), IF(Κανονικοποίηση!$G3=0, 9, MIN(MAX(Κανονικοποίηση!K$2/Κανονικοποίηση!$G3, 1/9), 9)))</f>
        <v>0.90909090909090906</v>
      </c>
      <c r="G143" s="23">
        <f>IF(Κανονικοποίηση!L$2=0, IF(Κανονικοποίηση!$G3=0, 1, 1/9), IF(Κανονικοποίηση!$G3=0, 9, MIN(MAX(Κανονικοποίηση!L$2/Κανονικοποίηση!$G3, 1/9), 9)))</f>
        <v>0.1111111111111111</v>
      </c>
      <c r="H143" s="23">
        <f>IF(Κανονικοποίηση!M$2=0, IF(Κανονικοποίηση!$G3=0, 1, 1/9), IF(Κανονικοποίηση!$G3=0, 9, MIN(MAX(Κανονικοποίηση!M$2/Κανονικοποίηση!$G3, 1/9), 9)))</f>
        <v>0.1111111111111111</v>
      </c>
      <c r="I143" s="74"/>
    </row>
    <row r="144" spans="1:9">
      <c r="A144" s="47" t="s">
        <v>13</v>
      </c>
      <c r="B144" s="23">
        <f>IF(Κανονικοποίηση!G$2=0, IF(Κανονικοποίηση!$G4=0, 1, 1/9), IF(Κανονικοποίηση!$G4=0, 9, MIN(MAX(Κανονικοποίηση!G$2/Κανονικοποίηση!$G4, 1/9), 9)))</f>
        <v>0.92105263157894746</v>
      </c>
      <c r="C144" s="23">
        <f>IF(Κανονικοποίηση!H$2=0, IF(Κανονικοποίηση!$G4=0, 1, 1/9), IF(Κανονικοποίηση!$G4=0, 9, MIN(MAX(Κανονικοποίηση!H$2/Κανονικοποίηση!$G4, 1/9), 9)))</f>
        <v>0.52631578947368418</v>
      </c>
      <c r="D144" s="23">
        <f>IF(Κανονικοποίηση!I$2=0, IF(Κανονικοποίηση!$G4=0, 1, 1/9), IF(Κανονικοποίηση!$G4=0, 9, MIN(MAX(Κανονικοποίηση!I$2/Κανονικοποίηση!$G4, 1/9), 9)))</f>
        <v>0.52631578947368418</v>
      </c>
      <c r="E144" s="23">
        <f>IF(Κανονικοποίηση!J$2=0, IF(Κανονικοποίηση!$G4=0, 1, 1/9), IF(Κανονικοποίηση!$G4=0, 9, MIN(MAX(Κανονικοποίηση!J$2/Κανονικοποίηση!$G4, 1/9), 9)))</f>
        <v>1.0526315789473684</v>
      </c>
      <c r="F144" s="23">
        <f>IF(Κανονικοποίηση!K$2=0, IF(Κανονικοποίηση!$G4=0, 1, 1/9), IF(Κανονικοποίηση!$G4=0, 9, MIN(MAX(Κανονικοποίηση!K$2/Κανονικοποίηση!$G4, 1/9), 9)))</f>
        <v>0.4784688995215311</v>
      </c>
      <c r="G144" s="23">
        <f>IF(Κανονικοποίηση!L$2=0, IF(Κανονικοποίηση!$G4=0, 1, 1/9), IF(Κανονικοποίηση!$G4=0, 9, MIN(MAX(Κανονικοποίηση!L$2/Κανονικοποίηση!$G4, 1/9), 9)))</f>
        <v>0.1111111111111111</v>
      </c>
      <c r="H144" s="23">
        <f>IF(Κανονικοποίηση!M$2=0, IF(Κανονικοποίηση!$G4=0, 1, 1/9), IF(Κανονικοποίηση!$G4=0, 9, MIN(MAX(Κανονικοποίηση!M$2/Κανονικοποίηση!$G4, 1/9), 9)))</f>
        <v>0.1111111111111111</v>
      </c>
      <c r="I144" s="74"/>
    </row>
    <row r="145" spans="1:9">
      <c r="A145" s="47" t="s">
        <v>14</v>
      </c>
      <c r="B145" s="23">
        <f>IF(Κανονικοποίηση!G$2=0, IF(Κανονικοποίηση!$G5=0, 1, 1/9), IF(Κανονικοποίηση!$G5=0, 9, MIN(MAX(Κανονικοποίηση!G$2/Κανονικοποίηση!$G5, 1/9), 9)))</f>
        <v>9</v>
      </c>
      <c r="C145" s="23">
        <f>IF(Κανονικοποίηση!H$2=0, IF(Κανονικοποίηση!$G5=0, 1, 1/9), IF(Κανονικοποίηση!$G5=0, 9, MIN(MAX(Κανονικοποίηση!H$2/Κανονικοποίηση!$G5, 1/9), 9)))</f>
        <v>9</v>
      </c>
      <c r="D145" s="23">
        <f>IF(Κανονικοποίηση!I$2=0, IF(Κανονικοποίηση!$G5=0, 1, 1/9), IF(Κανονικοποίηση!$G5=0, 9, MIN(MAX(Κανονικοποίηση!I$2/Κανονικοποίηση!$G5, 1/9), 9)))</f>
        <v>9</v>
      </c>
      <c r="E145" s="23">
        <f>IF(Κανονικοποίηση!J$2=0, IF(Κανονικοποίηση!$G5=0, 1, 1/9), IF(Κανονικοποίηση!$G5=0, 9, MIN(MAX(Κανονικοποίηση!J$2/Κανονικοποίηση!$G5, 1/9), 9)))</f>
        <v>9</v>
      </c>
      <c r="F145" s="23">
        <f>IF(Κανονικοποίηση!K$2=0, IF(Κανονικοποίηση!$G5=0, 1, 1/9), IF(Κανονικοποίηση!$G5=0, 9, MIN(MAX(Κανονικοποίηση!K$2/Κανονικοποίηση!$G5, 1/9), 9)))</f>
        <v>9</v>
      </c>
      <c r="G145" s="23">
        <f>IF(Κανονικοποίηση!L$2=0, IF(Κανονικοποίηση!$G5=0, 1, 1/9), IF(Κανονικοποίηση!$G5=0, 9, MIN(MAX(Κανονικοποίηση!L$2/Κανονικοποίηση!$G5, 1/9), 9)))</f>
        <v>1</v>
      </c>
      <c r="H145" s="23">
        <f>IF(Κανονικοποίηση!M$2=0, IF(Κανονικοποίηση!$G5=0, 1, 1/9), IF(Κανονικοποίηση!$G5=0, 9, MIN(MAX(Κανονικοποίηση!M$2/Κανονικοποίηση!$G5, 1/9), 9)))</f>
        <v>1</v>
      </c>
      <c r="I145" s="74"/>
    </row>
    <row r="146" spans="1:9">
      <c r="A146" s="47" t="s">
        <v>15</v>
      </c>
      <c r="B146" s="23">
        <f>IF(Κανονικοποίηση!G$2=0, IF(Κανονικοποίηση!$G6=0, 1, 1/9), IF(Κανονικοποίηση!$G6=0, 9, MIN(MAX(Κανονικοποίηση!G$2/Κανονικοποίηση!$G6, 1/9), 9)))</f>
        <v>0.875</v>
      </c>
      <c r="C146" s="23">
        <f>IF(Κανονικοποίηση!H$2=0, IF(Κανονικοποίηση!$G6=0, 1, 1/9), IF(Κανονικοποίηση!$G6=0, 9, MIN(MAX(Κανονικοποίηση!H$2/Κανονικοποίηση!$G6, 1/9), 9)))</f>
        <v>0.5</v>
      </c>
      <c r="D146" s="23">
        <f>IF(Κανονικοποίηση!I$2=0, IF(Κανονικοποίηση!$G6=0, 1, 1/9), IF(Κανονικοποίηση!$G6=0, 9, MIN(MAX(Κανονικοποίηση!I$2/Κανονικοποίηση!$G6, 1/9), 9)))</f>
        <v>0.5</v>
      </c>
      <c r="E146" s="23">
        <f>IF(Κανονικοποίηση!J$2=0, IF(Κανονικοποίηση!$G6=0, 1, 1/9), IF(Κανονικοποίηση!$G6=0, 9, MIN(MAX(Κανονικοποίηση!J$2/Κανονικοποίηση!$G6, 1/9), 9)))</f>
        <v>1</v>
      </c>
      <c r="F146" s="23">
        <f>IF(Κανονικοποίηση!K$2=0, IF(Κανονικοποίηση!$G6=0, 1, 1/9), IF(Κανονικοποίηση!$G6=0, 9, MIN(MAX(Κανονικοποίηση!K$2/Κανονικοποίηση!$G6, 1/9), 9)))</f>
        <v>0.45454545454545453</v>
      </c>
      <c r="G146" s="23">
        <f>IF(Κανονικοποίηση!L$2=0, IF(Κανονικοποίηση!$G6=0, 1, 1/9), IF(Κανονικοποίηση!$G6=0, 9, MIN(MAX(Κανονικοποίηση!L$2/Κανονικοποίηση!$G6, 1/9), 9)))</f>
        <v>0.1111111111111111</v>
      </c>
      <c r="H146" s="23">
        <f>IF(Κανονικοποίηση!M$2=0, IF(Κανονικοποίηση!$G6=0, 1, 1/9), IF(Κανονικοποίηση!$G6=0, 9, MIN(MAX(Κανονικοποίηση!M$2/Κανονικοποίηση!$G6, 1/9), 9)))</f>
        <v>0.1111111111111111</v>
      </c>
      <c r="I146" s="74"/>
    </row>
    <row r="147" spans="1:9">
      <c r="A147" s="47" t="s">
        <v>16</v>
      </c>
      <c r="B147" s="23">
        <f>IF(Κανονικοποίηση!G$2=0, IF(Κανονικοποίηση!$G7=0, 1, 1/9), IF(Κανονικοποίηση!$G7=0, 9, MIN(MAX(Κανονικοποίηση!G$2/Κανονικοποίηση!$G7, 1/9), 9)))</f>
        <v>1.75</v>
      </c>
      <c r="C147" s="23">
        <f>IF(Κανονικοποίηση!H$2=0, IF(Κανονικοποίηση!$G7=0, 1, 1/9), IF(Κανονικοποίηση!$G7=0, 9, MIN(MAX(Κανονικοποίηση!H$2/Κανονικοποίηση!$G7, 1/9), 9)))</f>
        <v>1</v>
      </c>
      <c r="D147" s="23">
        <f>IF(Κανονικοποίηση!I$2=0, IF(Κανονικοποίηση!$G7=0, 1, 1/9), IF(Κανονικοποίηση!$G7=0, 9, MIN(MAX(Κανονικοποίηση!I$2/Κανονικοποίηση!$G7, 1/9), 9)))</f>
        <v>1</v>
      </c>
      <c r="E147" s="23">
        <f>IF(Κανονικοποίηση!J$2=0, IF(Κανονικοποίηση!$G7=0, 1, 1/9), IF(Κανονικοποίηση!$G7=0, 9, MIN(MAX(Κανονικοποίηση!J$2/Κανονικοποίηση!$G7, 1/9), 9)))</f>
        <v>2</v>
      </c>
      <c r="F147" s="23">
        <f>IF(Κανονικοποίηση!K$2=0, IF(Κανονικοποίηση!$G7=0, 1, 1/9), IF(Κανονικοποίηση!$G7=0, 9, MIN(MAX(Κανονικοποίηση!K$2/Κανονικοποίηση!$G7, 1/9), 9)))</f>
        <v>0.90909090909090906</v>
      </c>
      <c r="G147" s="23">
        <f>IF(Κανονικοποίηση!L$2=0, IF(Κανονικοποίηση!$G7=0, 1, 1/9), IF(Κανονικοποίηση!$G7=0, 9, MIN(MAX(Κανονικοποίηση!L$2/Κανονικοποίηση!$G7, 1/9), 9)))</f>
        <v>0.1111111111111111</v>
      </c>
      <c r="H147" s="23">
        <f>IF(Κανονικοποίηση!M$2=0, IF(Κανονικοποίηση!$G7=0, 1, 1/9), IF(Κανονικοποίηση!$G7=0, 9, MIN(MAX(Κανονικοποίηση!M$2/Κανονικοποίηση!$G7, 1/9), 9)))</f>
        <v>0.1111111111111111</v>
      </c>
      <c r="I147" s="74"/>
    </row>
    <row r="148" spans="1:9">
      <c r="A148" s="47" t="s">
        <v>17</v>
      </c>
      <c r="B148" s="23">
        <f>IF(Κανονικοποίηση!G$2=0, IF(Κανονικοποίηση!$G8=0, 1, 1/9), IF(Κανονικοποίηση!$G8=0, 9, MIN(MAX(Κανονικοποίηση!G$2/Κανονικοποίηση!$G8, 1/9), 9)))</f>
        <v>0.89743589743589747</v>
      </c>
      <c r="C148" s="23">
        <f>IF(Κανονικοποίηση!H$2=0, IF(Κανονικοποίηση!$G8=0, 1, 1/9), IF(Κανονικοποίηση!$G8=0, 9, MIN(MAX(Κανονικοποίηση!H$2/Κανονικοποίηση!$G8, 1/9), 9)))</f>
        <v>0.51282051282051289</v>
      </c>
      <c r="D148" s="23">
        <f>IF(Κανονικοποίηση!I$2=0, IF(Κανονικοποίηση!$G8=0, 1, 1/9), IF(Κανονικοποίηση!$G8=0, 9, MIN(MAX(Κανονικοποίηση!I$2/Κανονικοποίηση!$G8, 1/9), 9)))</f>
        <v>0.51282051282051289</v>
      </c>
      <c r="E148" s="23">
        <f>IF(Κανονικοποίηση!J$2=0, IF(Κανονικοποίηση!$G8=0, 1, 1/9), IF(Κανονικοποίηση!$G8=0, 9, MIN(MAX(Κανονικοποίηση!J$2/Κανονικοποίηση!$G8, 1/9), 9)))</f>
        <v>1.0256410256410258</v>
      </c>
      <c r="F148" s="23">
        <f>IF(Κανονικοποίηση!K$2=0, IF(Κανονικοποίηση!$G8=0, 1, 1/9), IF(Κανονικοποίηση!$G8=0, 9, MIN(MAX(Κανονικοποίηση!K$2/Κανονικοποίηση!$G8, 1/9), 9)))</f>
        <v>0.46620046620046618</v>
      </c>
      <c r="G148" s="23">
        <f>IF(Κανονικοποίηση!L$2=0, IF(Κανονικοποίηση!$G8=0, 1, 1/9), IF(Κανονικοποίηση!$G8=0, 9, MIN(MAX(Κανονικοποίηση!L$2/Κανονικοποίηση!$G8, 1/9), 9)))</f>
        <v>0.1111111111111111</v>
      </c>
      <c r="H148" s="23">
        <f>IF(Κανονικοποίηση!M$2=0, IF(Κανονικοποίηση!$G8=0, 1, 1/9), IF(Κανονικοποίηση!$G8=0, 9, MIN(MAX(Κανονικοποίηση!M$2/Κανονικοποίηση!$G8, 1/9), 9)))</f>
        <v>0.1111111111111111</v>
      </c>
      <c r="I148" s="74"/>
    </row>
    <row r="149" spans="1:9">
      <c r="A149" s="47" t="s">
        <v>75</v>
      </c>
      <c r="B149" s="14">
        <f>SUM(B142:B148)</f>
        <v>16.193488529014843</v>
      </c>
      <c r="C149" s="14">
        <f t="shared" ref="C149:H149" si="45">SUM(C142:C148)</f>
        <v>13.110564873722769</v>
      </c>
      <c r="D149" s="14">
        <f t="shared" si="45"/>
        <v>13.110564873722769</v>
      </c>
      <c r="E149" s="14">
        <f t="shared" si="45"/>
        <v>17.221129747445538</v>
      </c>
      <c r="F149" s="14">
        <f t="shared" si="45"/>
        <v>12.736877157929788</v>
      </c>
      <c r="G149" s="14">
        <f t="shared" si="45"/>
        <v>1.6666666666666667</v>
      </c>
      <c r="H149" s="14">
        <f t="shared" si="45"/>
        <v>1.6666666666666667</v>
      </c>
      <c r="I149" s="75"/>
    </row>
    <row r="150" spans="1:9">
      <c r="A150" s="28"/>
      <c r="B150" s="29"/>
      <c r="C150" s="29"/>
      <c r="D150" s="29"/>
      <c r="E150" s="29"/>
      <c r="F150" s="29"/>
      <c r="G150" s="29"/>
      <c r="H150" s="29"/>
      <c r="I150" s="30"/>
    </row>
    <row r="151" spans="1:9">
      <c r="A151" s="77" t="s">
        <v>76</v>
      </c>
      <c r="B151" s="77"/>
      <c r="C151" s="77"/>
      <c r="D151" s="77"/>
      <c r="E151" s="77"/>
      <c r="F151" s="77"/>
      <c r="G151" s="77"/>
      <c r="H151" s="77"/>
      <c r="I151" s="77"/>
    </row>
    <row r="152" spans="1:9">
      <c r="A152" s="57" t="s">
        <v>23</v>
      </c>
      <c r="B152" s="56" t="s">
        <v>80</v>
      </c>
      <c r="C152" s="56" t="s">
        <v>81</v>
      </c>
      <c r="D152" s="56" t="s">
        <v>13</v>
      </c>
      <c r="E152" s="56" t="s">
        <v>14</v>
      </c>
      <c r="F152" s="56" t="s">
        <v>82</v>
      </c>
      <c r="G152" s="56" t="s">
        <v>83</v>
      </c>
      <c r="H152" s="56" t="s">
        <v>84</v>
      </c>
      <c r="I152" s="56" t="s">
        <v>77</v>
      </c>
    </row>
    <row r="153" spans="1:9">
      <c r="A153" s="47" t="s">
        <v>11</v>
      </c>
      <c r="B153" s="23">
        <f>(B142/B$149)</f>
        <v>6.1753216313349658E-2</v>
      </c>
      <c r="C153" s="23">
        <f t="shared" ref="C153:H153" si="46">(C142/C$149)</f>
        <v>4.3585350969421136E-2</v>
      </c>
      <c r="D153" s="23">
        <f t="shared" si="46"/>
        <v>4.3585350969421136E-2</v>
      </c>
      <c r="E153" s="23">
        <f t="shared" si="46"/>
        <v>6.636365671808879E-2</v>
      </c>
      <c r="F153" s="23">
        <f t="shared" si="46"/>
        <v>4.0785548375733421E-2</v>
      </c>
      <c r="G153" s="23">
        <f t="shared" si="46"/>
        <v>6.6666666666666666E-2</v>
      </c>
      <c r="H153" s="23">
        <f t="shared" si="46"/>
        <v>6.6666666666666666E-2</v>
      </c>
      <c r="I153" s="14">
        <f>AVERAGE(B153:H153)</f>
        <v>5.5629493811335355E-2</v>
      </c>
    </row>
    <row r="154" spans="1:9">
      <c r="A154" s="47" t="s">
        <v>12</v>
      </c>
      <c r="B154" s="23">
        <f t="shared" ref="B154:H154" si="47">(B143/B$149)</f>
        <v>0.10806812854836191</v>
      </c>
      <c r="C154" s="23">
        <f t="shared" si="47"/>
        <v>7.6274364196486991E-2</v>
      </c>
      <c r="D154" s="23">
        <f t="shared" si="47"/>
        <v>7.6274364196486991E-2</v>
      </c>
      <c r="E154" s="23">
        <f t="shared" si="47"/>
        <v>0.11613639925665539</v>
      </c>
      <c r="F154" s="23">
        <f t="shared" si="47"/>
        <v>7.1374709657533494E-2</v>
      </c>
      <c r="G154" s="23">
        <f t="shared" si="47"/>
        <v>6.6666666666666666E-2</v>
      </c>
      <c r="H154" s="23">
        <f t="shared" si="47"/>
        <v>6.6666666666666666E-2</v>
      </c>
      <c r="I154" s="14">
        <f t="shared" ref="I154:I159" si="48">AVERAGE(B154:H154)</f>
        <v>8.3065899884122593E-2</v>
      </c>
    </row>
    <row r="155" spans="1:9">
      <c r="A155" s="47" t="s">
        <v>13</v>
      </c>
      <c r="B155" s="23">
        <f t="shared" ref="B155:H155" si="49">(B144/B$149)</f>
        <v>5.6877962393874694E-2</v>
      </c>
      <c r="C155" s="23">
        <f t="shared" si="49"/>
        <v>4.0144402208677363E-2</v>
      </c>
      <c r="D155" s="23">
        <f t="shared" si="49"/>
        <v>4.0144402208677363E-2</v>
      </c>
      <c r="E155" s="23">
        <f t="shared" si="49"/>
        <v>6.1124420661397567E-2</v>
      </c>
      <c r="F155" s="23">
        <f t="shared" si="49"/>
        <v>3.756563666185974E-2</v>
      </c>
      <c r="G155" s="23">
        <f t="shared" si="49"/>
        <v>6.6666666666666666E-2</v>
      </c>
      <c r="H155" s="23">
        <f t="shared" si="49"/>
        <v>6.6666666666666666E-2</v>
      </c>
      <c r="I155" s="14">
        <f t="shared" si="48"/>
        <v>5.2741451066831431E-2</v>
      </c>
    </row>
    <row r="156" spans="1:9">
      <c r="A156" s="47" t="s">
        <v>14</v>
      </c>
      <c r="B156" s="23">
        <f t="shared" ref="B156:H156" si="50">(B145/B$149)</f>
        <v>0.55577894682014695</v>
      </c>
      <c r="C156" s="23">
        <f t="shared" si="50"/>
        <v>0.68646927776838296</v>
      </c>
      <c r="D156" s="23">
        <f t="shared" si="50"/>
        <v>0.68646927776838296</v>
      </c>
      <c r="E156" s="23">
        <f t="shared" si="50"/>
        <v>0.52261379665494923</v>
      </c>
      <c r="F156" s="23">
        <f t="shared" si="50"/>
        <v>0.70660962560958163</v>
      </c>
      <c r="G156" s="23">
        <f t="shared" si="50"/>
        <v>0.6</v>
      </c>
      <c r="H156" s="23">
        <f t="shared" si="50"/>
        <v>0.6</v>
      </c>
      <c r="I156" s="14">
        <f t="shared" si="48"/>
        <v>0.62256298923163478</v>
      </c>
    </row>
    <row r="157" spans="1:9">
      <c r="A157" s="47" t="s">
        <v>15</v>
      </c>
      <c r="B157" s="23">
        <f t="shared" ref="B157:H157" si="51">(B146/B$149)</f>
        <v>5.4034064274180955E-2</v>
      </c>
      <c r="C157" s="23">
        <f t="shared" si="51"/>
        <v>3.8137182098243495E-2</v>
      </c>
      <c r="D157" s="23">
        <f t="shared" si="51"/>
        <v>3.8137182098243495E-2</v>
      </c>
      <c r="E157" s="23">
        <f t="shared" si="51"/>
        <v>5.8068199628327696E-2</v>
      </c>
      <c r="F157" s="23">
        <f t="shared" si="51"/>
        <v>3.5687354828766747E-2</v>
      </c>
      <c r="G157" s="23">
        <f t="shared" si="51"/>
        <v>6.6666666666666666E-2</v>
      </c>
      <c r="H157" s="23">
        <f t="shared" si="51"/>
        <v>6.6666666666666666E-2</v>
      </c>
      <c r="I157" s="14">
        <f t="shared" si="48"/>
        <v>5.1056759465870814E-2</v>
      </c>
    </row>
    <row r="158" spans="1:9">
      <c r="A158" s="47" t="s">
        <v>16</v>
      </c>
      <c r="B158" s="23">
        <f t="shared" ref="B158:J159" si="52">(B147/B$149)</f>
        <v>0.10806812854836191</v>
      </c>
      <c r="C158" s="23">
        <f t="shared" si="52"/>
        <v>7.6274364196486991E-2</v>
      </c>
      <c r="D158" s="23">
        <f t="shared" si="52"/>
        <v>7.6274364196486991E-2</v>
      </c>
      <c r="E158" s="23">
        <f t="shared" si="52"/>
        <v>0.11613639925665539</v>
      </c>
      <c r="F158" s="23">
        <f t="shared" si="52"/>
        <v>7.1374709657533494E-2</v>
      </c>
      <c r="G158" s="23">
        <f t="shared" si="52"/>
        <v>6.6666666666666666E-2</v>
      </c>
      <c r="H158" s="23">
        <f t="shared" si="52"/>
        <v>6.6666666666666666E-2</v>
      </c>
      <c r="I158" s="14">
        <f t="shared" si="48"/>
        <v>8.3065899884122593E-2</v>
      </c>
    </row>
    <row r="159" spans="1:9">
      <c r="A159" s="47" t="s">
        <v>17</v>
      </c>
      <c r="B159" s="23">
        <f t="shared" si="52"/>
        <v>5.5419553101724056E-2</v>
      </c>
      <c r="C159" s="23">
        <f t="shared" si="52"/>
        <v>3.9115058562301026E-2</v>
      </c>
      <c r="D159" s="23">
        <f t="shared" si="52"/>
        <v>3.9115058562301026E-2</v>
      </c>
      <c r="E159" s="23">
        <f t="shared" si="52"/>
        <v>5.9557127823925853E-2</v>
      </c>
      <c r="F159" s="23">
        <f t="shared" si="52"/>
        <v>3.6602415208991539E-2</v>
      </c>
      <c r="G159" s="23">
        <f t="shared" si="52"/>
        <v>6.6666666666666666E-2</v>
      </c>
      <c r="H159" s="23">
        <f t="shared" si="52"/>
        <v>6.6666666666666666E-2</v>
      </c>
      <c r="I159" s="14">
        <f t="shared" ref="I159" si="53">AVERAGE(B159:H159)</f>
        <v>5.1877506656082407E-2</v>
      </c>
    </row>
    <row r="161" spans="1:9">
      <c r="A161" s="70" t="s">
        <v>90</v>
      </c>
      <c r="B161" s="71"/>
      <c r="C161" s="71"/>
      <c r="D161" s="71"/>
      <c r="E161" s="71"/>
      <c r="F161" s="71"/>
      <c r="G161" s="71"/>
      <c r="H161" s="71"/>
      <c r="I161" s="72"/>
    </row>
    <row r="162" spans="1:9">
      <c r="A162" s="57" t="s">
        <v>23</v>
      </c>
      <c r="B162" s="56" t="s">
        <v>80</v>
      </c>
      <c r="C162" s="56" t="s">
        <v>81</v>
      </c>
      <c r="D162" s="56" t="s">
        <v>13</v>
      </c>
      <c r="E162" s="56" t="s">
        <v>14</v>
      </c>
      <c r="F162" s="56" t="s">
        <v>82</v>
      </c>
      <c r="G162" s="56" t="s">
        <v>83</v>
      </c>
      <c r="H162" s="56" t="s">
        <v>84</v>
      </c>
      <c r="I162" s="73"/>
    </row>
    <row r="163" spans="1:9">
      <c r="A163" s="47" t="s">
        <v>11</v>
      </c>
      <c r="B163" s="23">
        <f>IF(Κανονικοποίηση!H$2=0, IF(Κανονικοποίηση!$H2=0, 1, 1/9), IF(Κανονικοποίηση!$H2=0, 9, MIN(MAX(Κανονικοποίηση!H$2/Κανονικοποίηση!$H2, 1/9), 9)))</f>
        <v>1</v>
      </c>
      <c r="C163" s="23">
        <f>IF(Κανονικοποίηση!I$2=0, IF(Κανονικοποίηση!$H2=0, 1, 1/9), IF(Κανονικοποίηση!$H2=0, 9, MIN(MAX(Κανονικοποίηση!I$2/Κανονικοποίηση!$H2, 1/9), 9)))</f>
        <v>1</v>
      </c>
      <c r="D163" s="23">
        <f>IF(Κανονικοποίηση!J$2=0, IF(Κανονικοποίηση!$H2=0, 1, 1/9), IF(Κανονικοποίηση!$H2=0, 9, MIN(MAX(Κανονικοποίηση!J$2/Κανονικοποίηση!$H2, 1/9), 9)))</f>
        <v>2</v>
      </c>
      <c r="E163" s="23">
        <f>IF(Κανονικοποίηση!K$2=0, IF(Κανονικοποίηση!$H2=0, 1, 1/9), IF(Κανονικοποίηση!$H2=0, 9, MIN(MAX(Κανονικοποίηση!K$2/Κανονικοποίηση!$H2, 1/9), 9)))</f>
        <v>0.90909090909090906</v>
      </c>
      <c r="F163" s="23">
        <f>IF(Κανονικοποίηση!L$2=0, IF(Κανονικοποίηση!$H2=0, 1, 1/9), IF(Κανονικοποίηση!$H2=0, 9, MIN(MAX(Κανονικοποίηση!L$2/Κανονικοποίηση!$H2, 1/9), 9)))</f>
        <v>0.1111111111111111</v>
      </c>
      <c r="G163" s="23">
        <f>IF(Κανονικοποίηση!M$2=0, IF(Κανονικοποίηση!$H2=0, 1, 1/9), IF(Κανονικοποίηση!$H2=0, 9, MIN(MAX(Κανονικοποίηση!M$2/Κανονικοποίηση!$H2, 1/9), 9)))</f>
        <v>0.1111111111111111</v>
      </c>
      <c r="H163" s="23">
        <f>IF(Κανονικοποίηση!N$2=0, IF(Κανονικοποίηση!$H2=0, 1, 1/9), IF(Κανονικοποίηση!$H2=0, 9, MIN(MAX(Κανονικοποίηση!N$2/Κανονικοποίηση!$H2, 1/9), 9)))</f>
        <v>0.1111111111111111</v>
      </c>
      <c r="I163" s="74"/>
    </row>
    <row r="164" spans="1:9">
      <c r="A164" s="47" t="s">
        <v>12</v>
      </c>
      <c r="B164" s="23">
        <f>IF(Κανονικοποίηση!H$2=0, IF(Κανονικοποίηση!$H3=0, 1, 1/9), IF(Κανονικοποίηση!$H3=0, 9, MIN(MAX(Κανονικοποίηση!H$2/Κανονικοποίηση!$H3, 1/9), 9)))</f>
        <v>0.5</v>
      </c>
      <c r="C164" s="23">
        <f>IF(Κανονικοποίηση!I$2=0, IF(Κανονικοποίηση!$H3=0, 1, 1/9), IF(Κανονικοποίηση!$H3=0, 9, MIN(MAX(Κανονικοποίηση!I$2/Κανονικοποίηση!$H3, 1/9), 9)))</f>
        <v>0.5</v>
      </c>
      <c r="D164" s="23">
        <f>IF(Κανονικοποίηση!J$2=0, IF(Κανονικοποίηση!$H3=0, 1, 1/9), IF(Κανονικοποίηση!$H3=0, 9, MIN(MAX(Κανονικοποίηση!J$2/Κανονικοποίηση!$H3, 1/9), 9)))</f>
        <v>1</v>
      </c>
      <c r="E164" s="23">
        <f>IF(Κανονικοποίηση!K$2=0, IF(Κανονικοποίηση!$H3=0, 1, 1/9), IF(Κανονικοποίηση!$H3=0, 9, MIN(MAX(Κανονικοποίηση!K$2/Κανονικοποίηση!$H3, 1/9), 9)))</f>
        <v>0.45454545454545453</v>
      </c>
      <c r="F164" s="23">
        <f>IF(Κανονικοποίηση!L$2=0, IF(Κανονικοποίηση!$H3=0, 1, 1/9), IF(Κανονικοποίηση!$H3=0, 9, MIN(MAX(Κανονικοποίηση!L$2/Κανονικοποίηση!$H3, 1/9), 9)))</f>
        <v>0.1111111111111111</v>
      </c>
      <c r="G164" s="23">
        <f>IF(Κανονικοποίηση!M$2=0, IF(Κανονικοποίηση!$H3=0, 1, 1/9), IF(Κανονικοποίηση!$H3=0, 9, MIN(MAX(Κανονικοποίηση!M$2/Κανονικοποίηση!$H3, 1/9), 9)))</f>
        <v>0.1111111111111111</v>
      </c>
      <c r="H164" s="23">
        <f>IF(Κανονικοποίηση!N$2=0, IF(Κανονικοποίηση!$H3=0, 1, 1/9), IF(Κανονικοποίηση!$H3=0, 9, MIN(MAX(Κανονικοποίηση!N$2/Κανονικοποίηση!$H3, 1/9), 9)))</f>
        <v>0.1111111111111111</v>
      </c>
      <c r="I164" s="74"/>
    </row>
    <row r="165" spans="1:9">
      <c r="A165" s="47" t="s">
        <v>13</v>
      </c>
      <c r="B165" s="23">
        <f>IF(Κανονικοποίηση!H$2=0, IF(Κανονικοποίηση!$H4=0, 1, 1/9), IF(Κανονικοποίηση!$H4=0, 9, MIN(MAX(Κανονικοποίηση!H$2/Κανονικοποίηση!$H4, 1/9), 9)))</f>
        <v>0.625</v>
      </c>
      <c r="C165" s="23">
        <f>IF(Κανονικοποίηση!I$2=0, IF(Κανονικοποίηση!$H4=0, 1, 1/9), IF(Κανονικοποίηση!$H4=0, 9, MIN(MAX(Κανονικοποίηση!I$2/Κανονικοποίηση!$H4, 1/9), 9)))</f>
        <v>0.625</v>
      </c>
      <c r="D165" s="23">
        <f>IF(Κανονικοποίηση!J$2=0, IF(Κανονικοποίηση!$H4=0, 1, 1/9), IF(Κανονικοποίηση!$H4=0, 9, MIN(MAX(Κανονικοποίηση!J$2/Κανονικοποίηση!$H4, 1/9), 9)))</f>
        <v>1.25</v>
      </c>
      <c r="E165" s="23">
        <f>IF(Κανονικοποίηση!K$2=0, IF(Κανονικοποίηση!$H4=0, 1, 1/9), IF(Κανονικοποίηση!$H4=0, 9, MIN(MAX(Κανονικοποίηση!K$2/Κανονικοποίηση!$H4, 1/9), 9)))</f>
        <v>0.56818181818181812</v>
      </c>
      <c r="F165" s="23">
        <f>IF(Κανονικοποίηση!L$2=0, IF(Κανονικοποίηση!$H4=0, 1, 1/9), IF(Κανονικοποίηση!$H4=0, 9, MIN(MAX(Κανονικοποίηση!L$2/Κανονικοποίηση!$H4, 1/9), 9)))</f>
        <v>0.1111111111111111</v>
      </c>
      <c r="G165" s="23">
        <f>IF(Κανονικοποίηση!M$2=0, IF(Κανονικοποίηση!$H4=0, 1, 1/9), IF(Κανονικοποίηση!$H4=0, 9, MIN(MAX(Κανονικοποίηση!M$2/Κανονικοποίηση!$H4, 1/9), 9)))</f>
        <v>0.1111111111111111</v>
      </c>
      <c r="H165" s="23">
        <f>IF(Κανονικοποίηση!N$2=0, IF(Κανονικοποίηση!$H4=0, 1, 1/9), IF(Κανονικοποίηση!$H4=0, 9, MIN(MAX(Κανονικοποίηση!N$2/Κανονικοποίηση!$H4, 1/9), 9)))</f>
        <v>0.1111111111111111</v>
      </c>
      <c r="I165" s="74"/>
    </row>
    <row r="166" spans="1:9">
      <c r="A166" s="47" t="s">
        <v>14</v>
      </c>
      <c r="B166" s="23">
        <f>IF(Κανονικοποίηση!H$2=0, IF(Κανονικοποίηση!$H5=0, 1, 1/9), IF(Κανονικοποίηση!$H5=0, 9, MIN(MAX(Κανονικοποίηση!H$2/Κανονικοποίηση!$H5, 1/9), 9)))</f>
        <v>0.7142857142857143</v>
      </c>
      <c r="C166" s="23">
        <f>IF(Κανονικοποίηση!I$2=0, IF(Κανονικοποίηση!$H5=0, 1, 1/9), IF(Κανονικοποίηση!$H5=0, 9, MIN(MAX(Κανονικοποίηση!I$2/Κανονικοποίηση!$H5, 1/9), 9)))</f>
        <v>0.7142857142857143</v>
      </c>
      <c r="D166" s="23">
        <f>IF(Κανονικοποίηση!J$2=0, IF(Κανονικοποίηση!$H5=0, 1, 1/9), IF(Κανονικοποίηση!$H5=0, 9, MIN(MAX(Κανονικοποίηση!J$2/Κανονικοποίηση!$H5, 1/9), 9)))</f>
        <v>1.4285714285714286</v>
      </c>
      <c r="E166" s="23">
        <f>IF(Κανονικοποίηση!K$2=0, IF(Κανονικοποίηση!$H5=0, 1, 1/9), IF(Κανονικοποίηση!$H5=0, 9, MIN(MAX(Κανονικοποίηση!K$2/Κανονικοποίηση!$H5, 1/9), 9)))</f>
        <v>0.64935064935064934</v>
      </c>
      <c r="F166" s="23">
        <f>IF(Κανονικοποίηση!L$2=0, IF(Κανονικοποίηση!$H5=0, 1, 1/9), IF(Κανονικοποίηση!$H5=0, 9, MIN(MAX(Κανονικοποίηση!L$2/Κανονικοποίηση!$H5, 1/9), 9)))</f>
        <v>0.1111111111111111</v>
      </c>
      <c r="G166" s="23">
        <f>IF(Κανονικοποίηση!M$2=0, IF(Κανονικοποίηση!$H5=0, 1, 1/9), IF(Κανονικοποίηση!$H5=0, 9, MIN(MAX(Κανονικοποίηση!M$2/Κανονικοποίηση!$H5, 1/9), 9)))</f>
        <v>0.1111111111111111</v>
      </c>
      <c r="H166" s="23">
        <f>IF(Κανονικοποίηση!N$2=0, IF(Κανονικοποίηση!$H5=0, 1, 1/9), IF(Κανονικοποίηση!$H5=0, 9, MIN(MAX(Κανονικοποίηση!N$2/Κανονικοποίηση!$H5, 1/9), 9)))</f>
        <v>0.1111111111111111</v>
      </c>
      <c r="I166" s="74"/>
    </row>
    <row r="167" spans="1:9">
      <c r="A167" s="47" t="s">
        <v>15</v>
      </c>
      <c r="B167" s="23">
        <f>IF(Κανονικοποίηση!H$2=0, IF(Κανονικοποίηση!$H6=0, 1, 1/9), IF(Κανονικοποίηση!$H6=0, 9, MIN(MAX(Κανονικοποίηση!H$2/Κανονικοποίηση!$H6, 1/9), 9)))</f>
        <v>0.5</v>
      </c>
      <c r="C167" s="23">
        <f>IF(Κανονικοποίηση!I$2=0, IF(Κανονικοποίηση!$H6=0, 1, 1/9), IF(Κανονικοποίηση!$H6=0, 9, MIN(MAX(Κανονικοποίηση!I$2/Κανονικοποίηση!$H6, 1/9), 9)))</f>
        <v>0.5</v>
      </c>
      <c r="D167" s="23">
        <f>IF(Κανονικοποίηση!J$2=0, IF(Κανονικοποίηση!$H6=0, 1, 1/9), IF(Κανονικοποίηση!$H6=0, 9, MIN(MAX(Κανονικοποίηση!J$2/Κανονικοποίηση!$H6, 1/9), 9)))</f>
        <v>1</v>
      </c>
      <c r="E167" s="23">
        <f>IF(Κανονικοποίηση!K$2=0, IF(Κανονικοποίηση!$H6=0, 1, 1/9), IF(Κανονικοποίηση!$H6=0, 9, MIN(MAX(Κανονικοποίηση!K$2/Κανονικοποίηση!$H6, 1/9), 9)))</f>
        <v>0.45454545454545453</v>
      </c>
      <c r="F167" s="23">
        <f>IF(Κανονικοποίηση!L$2=0, IF(Κανονικοποίηση!$H6=0, 1, 1/9), IF(Κανονικοποίηση!$H6=0, 9, MIN(MAX(Κανονικοποίηση!L$2/Κανονικοποίηση!$H6, 1/9), 9)))</f>
        <v>0.1111111111111111</v>
      </c>
      <c r="G167" s="23">
        <f>IF(Κανονικοποίηση!M$2=0, IF(Κανονικοποίηση!$H6=0, 1, 1/9), IF(Κανονικοποίηση!$H6=0, 9, MIN(MAX(Κανονικοποίηση!M$2/Κανονικοποίηση!$H6, 1/9), 9)))</f>
        <v>0.1111111111111111</v>
      </c>
      <c r="H167" s="23">
        <f>IF(Κανονικοποίηση!N$2=0, IF(Κανονικοποίηση!$H6=0, 1, 1/9), IF(Κανονικοποίηση!$H6=0, 9, MIN(MAX(Κανονικοποίηση!N$2/Κανονικοποίηση!$H6, 1/9), 9)))</f>
        <v>0.1111111111111111</v>
      </c>
      <c r="I167" s="74"/>
    </row>
    <row r="168" spans="1:9">
      <c r="A168" s="47" t="s">
        <v>16</v>
      </c>
      <c r="B168" s="23">
        <f>IF(Κανονικοποίηση!H$2=0, IF(Κανονικοποίηση!$H7=0, 1, 1/9), IF(Κανονικοποίηση!$H7=0, 9, MIN(MAX(Κανονικοποίηση!H$2/Κανονικοποίηση!$H7, 1/9), 9)))</f>
        <v>9</v>
      </c>
      <c r="C168" s="23">
        <f>IF(Κανονικοποίηση!I$2=0, IF(Κανονικοποίηση!$H7=0, 1, 1/9), IF(Κανονικοποίηση!$H7=0, 9, MIN(MAX(Κανονικοποίηση!I$2/Κανονικοποίηση!$H7, 1/9), 9)))</f>
        <v>9</v>
      </c>
      <c r="D168" s="23">
        <f>IF(Κανονικοποίηση!J$2=0, IF(Κανονικοποίηση!$H7=0, 1, 1/9), IF(Κανονικοποίηση!$H7=0, 9, MIN(MAX(Κανονικοποίηση!J$2/Κανονικοποίηση!$H7, 1/9), 9)))</f>
        <v>9</v>
      </c>
      <c r="E168" s="23">
        <f>IF(Κανονικοποίηση!K$2=0, IF(Κανονικοποίηση!$H7=0, 1, 1/9), IF(Κανονικοποίηση!$H7=0, 9, MIN(MAX(Κανονικοποίηση!K$2/Κανονικοποίηση!$H7, 1/9), 9)))</f>
        <v>9</v>
      </c>
      <c r="F168" s="23">
        <f>IF(Κανονικοποίηση!L$2=0, IF(Κανονικοποίηση!$H7=0, 1, 1/9), IF(Κανονικοποίηση!$H7=0, 9, MIN(MAX(Κανονικοποίηση!L$2/Κανονικοποίηση!$H7, 1/9), 9)))</f>
        <v>1</v>
      </c>
      <c r="G168" s="23">
        <f>IF(Κανονικοποίηση!M$2=0, IF(Κανονικοποίηση!$H7=0, 1, 1/9), IF(Κανονικοποίηση!$H7=0, 9, MIN(MAX(Κανονικοποίηση!M$2/Κανονικοποίηση!$H7, 1/9), 9)))</f>
        <v>1</v>
      </c>
      <c r="H168" s="23">
        <f>IF(Κανονικοποίηση!N$2=0, IF(Κανονικοποίηση!$H7=0, 1, 1/9), IF(Κανονικοποίηση!$H7=0, 9, MIN(MAX(Κανονικοποίηση!N$2/Κανονικοποίηση!$H7, 1/9), 9)))</f>
        <v>1</v>
      </c>
      <c r="I168" s="74"/>
    </row>
    <row r="169" spans="1:9">
      <c r="A169" s="47" t="s">
        <v>17</v>
      </c>
      <c r="B169" s="23">
        <f>IF(Κανονικοποίηση!H$2=0, IF(Κανονικοποίηση!$H8=0, 1, 1/9), IF(Κανονικοποίηση!$H8=0, 9, MIN(MAX(Κανονικοποίηση!H$2/Κανονικοποίηση!$H8, 1/9), 9)))</f>
        <v>0.55555555555555558</v>
      </c>
      <c r="C169" s="23">
        <f>IF(Κανονικοποίηση!I$2=0, IF(Κανονικοποίηση!$H8=0, 1, 1/9), IF(Κανονικοποίηση!$H8=0, 9, MIN(MAX(Κανονικοποίηση!I$2/Κανονικοποίηση!$H8, 1/9), 9)))</f>
        <v>0.55555555555555558</v>
      </c>
      <c r="D169" s="23">
        <f>IF(Κανονικοποίηση!J$2=0, IF(Κανονικοποίηση!$H8=0, 1, 1/9), IF(Κανονικοποίηση!$H8=0, 9, MIN(MAX(Κανονικοποίηση!J$2/Κανονικοποίηση!$H8, 1/9), 9)))</f>
        <v>1.1111111111111112</v>
      </c>
      <c r="E169" s="23">
        <f>IF(Κανονικοποίηση!K$2=0, IF(Κανονικοποίηση!$H8=0, 1, 1/9), IF(Κανονικοποίηση!$H8=0, 9, MIN(MAX(Κανονικοποίηση!K$2/Κανονικοποίηση!$H8, 1/9), 9)))</f>
        <v>0.50505050505050497</v>
      </c>
      <c r="F169" s="23">
        <f>IF(Κανονικοποίηση!L$2=0, IF(Κανονικοποίηση!$H8=0, 1, 1/9), IF(Κανονικοποίηση!$H8=0, 9, MIN(MAX(Κανονικοποίηση!L$2/Κανονικοποίηση!$H8, 1/9), 9)))</f>
        <v>0.1111111111111111</v>
      </c>
      <c r="G169" s="23">
        <f>IF(Κανονικοποίηση!M$2=0, IF(Κανονικοποίηση!$H8=0, 1, 1/9), IF(Κανονικοποίηση!$H8=0, 9, MIN(MAX(Κανονικοποίηση!M$2/Κανονικοποίηση!$H8, 1/9), 9)))</f>
        <v>0.1111111111111111</v>
      </c>
      <c r="H169" s="23">
        <f>IF(Κανονικοποίηση!N$2=0, IF(Κανονικοποίηση!$H8=0, 1, 1/9), IF(Κανονικοποίηση!$H8=0, 9, MIN(MAX(Κανονικοποίηση!N$2/Κανονικοποίηση!$H8, 1/9), 9)))</f>
        <v>0.1111111111111111</v>
      </c>
      <c r="I169" s="74"/>
    </row>
    <row r="170" spans="1:9">
      <c r="A170" s="47" t="s">
        <v>75</v>
      </c>
      <c r="B170" s="14">
        <f>SUM(B163:B169)</f>
        <v>12.894841269841271</v>
      </c>
      <c r="C170" s="14">
        <f t="shared" ref="C170:H170" si="54">SUM(C163:C169)</f>
        <v>12.894841269841271</v>
      </c>
      <c r="D170" s="14">
        <f t="shared" si="54"/>
        <v>16.789682539682541</v>
      </c>
      <c r="E170" s="14">
        <f t="shared" si="54"/>
        <v>12.54076479076479</v>
      </c>
      <c r="F170" s="14">
        <f t="shared" si="54"/>
        <v>1.6666666666666667</v>
      </c>
      <c r="G170" s="14">
        <f t="shared" si="54"/>
        <v>1.6666666666666667</v>
      </c>
      <c r="H170" s="14">
        <f t="shared" si="54"/>
        <v>1.6666666666666667</v>
      </c>
      <c r="I170" s="75"/>
    </row>
    <row r="171" spans="1:9">
      <c r="A171" s="28"/>
      <c r="B171" s="29"/>
      <c r="C171" s="29"/>
      <c r="D171" s="29"/>
      <c r="E171" s="29"/>
      <c r="F171" s="29"/>
      <c r="G171" s="29"/>
      <c r="H171" s="29"/>
      <c r="I171" s="30"/>
    </row>
    <row r="172" spans="1:9">
      <c r="A172" s="77" t="s">
        <v>76</v>
      </c>
      <c r="B172" s="77"/>
      <c r="C172" s="77"/>
      <c r="D172" s="77"/>
      <c r="E172" s="77"/>
      <c r="F172" s="77"/>
      <c r="G172" s="77"/>
      <c r="H172" s="77"/>
      <c r="I172" s="77"/>
    </row>
    <row r="173" spans="1:9">
      <c r="A173" s="57" t="s">
        <v>23</v>
      </c>
      <c r="B173" s="56" t="s">
        <v>80</v>
      </c>
      <c r="C173" s="56" t="s">
        <v>81</v>
      </c>
      <c r="D173" s="56" t="s">
        <v>13</v>
      </c>
      <c r="E173" s="56" t="s">
        <v>14</v>
      </c>
      <c r="F173" s="56" t="s">
        <v>82</v>
      </c>
      <c r="G173" s="56" t="s">
        <v>83</v>
      </c>
      <c r="H173" s="56" t="s">
        <v>84</v>
      </c>
      <c r="I173" s="56" t="s">
        <v>77</v>
      </c>
    </row>
    <row r="174" spans="1:9">
      <c r="A174" s="47" t="s">
        <v>11</v>
      </c>
      <c r="B174" s="23">
        <f>(B163/B$170)</f>
        <v>7.7550392368056623E-2</v>
      </c>
      <c r="C174" s="23">
        <f t="shared" ref="C174:H174" si="55">(C163/C$170)</f>
        <v>7.7550392368056623E-2</v>
      </c>
      <c r="D174" s="23">
        <f t="shared" si="55"/>
        <v>0.11912077523044197</v>
      </c>
      <c r="E174" s="23">
        <f t="shared" si="55"/>
        <v>7.2490866726116848E-2</v>
      </c>
      <c r="F174" s="23">
        <f t="shared" si="55"/>
        <v>6.6666666666666666E-2</v>
      </c>
      <c r="G174" s="23">
        <f t="shared" si="55"/>
        <v>6.6666666666666666E-2</v>
      </c>
      <c r="H174" s="23">
        <f t="shared" si="55"/>
        <v>6.6666666666666666E-2</v>
      </c>
      <c r="I174" s="14">
        <f>AVERAGE(B174:H174)</f>
        <v>7.8101775241810292E-2</v>
      </c>
    </row>
    <row r="175" spans="1:9">
      <c r="A175" s="47" t="s">
        <v>12</v>
      </c>
      <c r="B175" s="23">
        <f t="shared" ref="B175:H175" si="56">(B164/B$170)</f>
        <v>3.8775196184028311E-2</v>
      </c>
      <c r="C175" s="23">
        <f t="shared" si="56"/>
        <v>3.8775196184028311E-2</v>
      </c>
      <c r="D175" s="23">
        <f t="shared" si="56"/>
        <v>5.9560387615220985E-2</v>
      </c>
      <c r="E175" s="23">
        <f t="shared" si="56"/>
        <v>3.6245433363058424E-2</v>
      </c>
      <c r="F175" s="23">
        <f t="shared" si="56"/>
        <v>6.6666666666666666E-2</v>
      </c>
      <c r="G175" s="23">
        <f t="shared" si="56"/>
        <v>6.6666666666666666E-2</v>
      </c>
      <c r="H175" s="23">
        <f t="shared" si="56"/>
        <v>6.6666666666666666E-2</v>
      </c>
      <c r="I175" s="14">
        <f t="shared" ref="I175:I180" si="57">AVERAGE(B175:H175)</f>
        <v>5.333660190661943E-2</v>
      </c>
    </row>
    <row r="176" spans="1:9">
      <c r="A176" s="47" t="s">
        <v>13</v>
      </c>
      <c r="B176" s="23">
        <f t="shared" ref="B176:H176" si="58">(B165/B$170)</f>
        <v>4.8468995230035387E-2</v>
      </c>
      <c r="C176" s="23">
        <f t="shared" si="58"/>
        <v>4.8468995230035387E-2</v>
      </c>
      <c r="D176" s="23">
        <f t="shared" si="58"/>
        <v>7.4450484519026222E-2</v>
      </c>
      <c r="E176" s="23">
        <f t="shared" si="58"/>
        <v>4.5306791703823027E-2</v>
      </c>
      <c r="F176" s="23">
        <f t="shared" si="58"/>
        <v>6.6666666666666666E-2</v>
      </c>
      <c r="G176" s="23">
        <f t="shared" si="58"/>
        <v>6.6666666666666666E-2</v>
      </c>
      <c r="H176" s="23">
        <f t="shared" si="58"/>
        <v>6.6666666666666666E-2</v>
      </c>
      <c r="I176" s="14">
        <f t="shared" si="57"/>
        <v>5.9527895240417135E-2</v>
      </c>
    </row>
    <row r="177" spans="1:9">
      <c r="A177" s="47" t="s">
        <v>14</v>
      </c>
      <c r="B177" s="23">
        <f t="shared" ref="B177:H177" si="59">(B166/B$170)</f>
        <v>5.539313740575473E-2</v>
      </c>
      <c r="C177" s="23">
        <f t="shared" si="59"/>
        <v>5.539313740575473E-2</v>
      </c>
      <c r="D177" s="23">
        <f t="shared" si="59"/>
        <v>8.5086268021744266E-2</v>
      </c>
      <c r="E177" s="23">
        <f t="shared" si="59"/>
        <v>5.1779190518654893E-2</v>
      </c>
      <c r="F177" s="23">
        <f t="shared" si="59"/>
        <v>6.6666666666666666E-2</v>
      </c>
      <c r="G177" s="23">
        <f t="shared" si="59"/>
        <v>6.6666666666666666E-2</v>
      </c>
      <c r="H177" s="23">
        <f t="shared" si="59"/>
        <v>6.6666666666666666E-2</v>
      </c>
      <c r="I177" s="14">
        <f t="shared" si="57"/>
        <v>6.3950247621701234E-2</v>
      </c>
    </row>
    <row r="178" spans="1:9">
      <c r="A178" s="47" t="s">
        <v>15</v>
      </c>
      <c r="B178" s="23">
        <f t="shared" ref="B178:H178" si="60">(B167/B$170)</f>
        <v>3.8775196184028311E-2</v>
      </c>
      <c r="C178" s="23">
        <f t="shared" si="60"/>
        <v>3.8775196184028311E-2</v>
      </c>
      <c r="D178" s="23">
        <f t="shared" si="60"/>
        <v>5.9560387615220985E-2</v>
      </c>
      <c r="E178" s="23">
        <f t="shared" si="60"/>
        <v>3.6245433363058424E-2</v>
      </c>
      <c r="F178" s="23">
        <f t="shared" si="60"/>
        <v>6.6666666666666666E-2</v>
      </c>
      <c r="G178" s="23">
        <f t="shared" si="60"/>
        <v>6.6666666666666666E-2</v>
      </c>
      <c r="H178" s="23">
        <f t="shared" si="60"/>
        <v>6.6666666666666666E-2</v>
      </c>
      <c r="I178" s="14">
        <f t="shared" si="57"/>
        <v>5.333660190661943E-2</v>
      </c>
    </row>
    <row r="179" spans="1:9">
      <c r="A179" s="47" t="s">
        <v>16</v>
      </c>
      <c r="B179" s="23">
        <f t="shared" ref="B179:H179" si="61">(B168/B$170)</f>
        <v>0.69795353131250959</v>
      </c>
      <c r="C179" s="23">
        <f t="shared" si="61"/>
        <v>0.69795353131250959</v>
      </c>
      <c r="D179" s="23">
        <f t="shared" si="61"/>
        <v>0.5360434885369888</v>
      </c>
      <c r="E179" s="23">
        <f t="shared" si="61"/>
        <v>0.71765958058855683</v>
      </c>
      <c r="F179" s="23">
        <f t="shared" si="61"/>
        <v>0.6</v>
      </c>
      <c r="G179" s="23">
        <f t="shared" si="61"/>
        <v>0.6</v>
      </c>
      <c r="H179" s="23">
        <f t="shared" si="61"/>
        <v>0.6</v>
      </c>
      <c r="I179" s="14">
        <f t="shared" si="57"/>
        <v>0.63565859025008076</v>
      </c>
    </row>
    <row r="180" spans="1:9">
      <c r="A180" s="47" t="s">
        <v>17</v>
      </c>
      <c r="B180" s="23">
        <f t="shared" ref="B180:H180" si="62">(B169/B$170)</f>
        <v>4.3083551315587013E-2</v>
      </c>
      <c r="C180" s="23">
        <f t="shared" si="62"/>
        <v>4.3083551315587013E-2</v>
      </c>
      <c r="D180" s="23">
        <f t="shared" si="62"/>
        <v>6.617820846135665E-2</v>
      </c>
      <c r="E180" s="23">
        <f t="shared" si="62"/>
        <v>4.0272703736731578E-2</v>
      </c>
      <c r="F180" s="23">
        <f t="shared" si="62"/>
        <v>6.6666666666666666E-2</v>
      </c>
      <c r="G180" s="23">
        <f t="shared" si="62"/>
        <v>6.6666666666666666E-2</v>
      </c>
      <c r="H180" s="23">
        <f>(H169/H$170)</f>
        <v>6.6666666666666666E-2</v>
      </c>
      <c r="I180" s="14">
        <f>AVERAGE(B180:H180)</f>
        <v>5.608828783275175E-2</v>
      </c>
    </row>
    <row r="182" spans="1:9">
      <c r="A182" s="70" t="s">
        <v>91</v>
      </c>
      <c r="B182" s="71"/>
      <c r="C182" s="71"/>
      <c r="D182" s="71"/>
      <c r="E182" s="71"/>
      <c r="F182" s="71"/>
      <c r="G182" s="71"/>
      <c r="H182" s="71"/>
      <c r="I182" s="72"/>
    </row>
    <row r="183" spans="1:9">
      <c r="A183" s="57" t="s">
        <v>23</v>
      </c>
      <c r="B183" s="56" t="s">
        <v>80</v>
      </c>
      <c r="C183" s="56" t="s">
        <v>81</v>
      </c>
      <c r="D183" s="56" t="s">
        <v>13</v>
      </c>
      <c r="E183" s="56" t="s">
        <v>14</v>
      </c>
      <c r="F183" s="56" t="s">
        <v>82</v>
      </c>
      <c r="G183" s="56" t="s">
        <v>83</v>
      </c>
      <c r="H183" s="56" t="s">
        <v>84</v>
      </c>
      <c r="I183" s="73"/>
    </row>
    <row r="184" spans="1:9">
      <c r="A184" s="47" t="s">
        <v>11</v>
      </c>
      <c r="B184" s="23">
        <f>IF(Κανονικοποίηση!I$2=0, IF(Κανονικοποίηση!$I2=0, 1, 1/9), IF(Κανονικοποίηση!$I2=0, 9, MIN(MAX(Κανονικοποίηση!$I2/Κανονικοποίηση!I$2, 1/9), 9)))</f>
        <v>1</v>
      </c>
      <c r="C184" s="23">
        <f>IF(Κανονικοποίηση!J$2=0, IF(Κανονικοποίηση!$I2=0, 1, 1/9), IF(Κανονικοποίηση!$I2=0, 9, MIN(MAX(Κανονικοποίηση!$I2/Κανονικοποίηση!J$2, 1/9), 9)))</f>
        <v>0.5</v>
      </c>
      <c r="D184" s="23">
        <f>IF(Κανονικοποίηση!K$2=0, IF(Κανονικοποίηση!$I2=0, 1, 1/9), IF(Κανονικοποίηση!$I2=0, 9, MIN(MAX(Κανονικοποίηση!$I2/Κανονικοποίηση!K$2, 1/9), 9)))</f>
        <v>1.1000000000000001</v>
      </c>
      <c r="E184" s="23">
        <f>IF(Κανονικοποίηση!L$2=0, IF(Κανονικοποίηση!$I2=0, 1, 1/9), IF(Κανονικοποίηση!$I2=0, 9, MIN(MAX(Κανονικοποίηση!$I2/Κανονικοποίηση!L$2, 1/9), 9)))</f>
        <v>0.1111111111111111</v>
      </c>
      <c r="F184" s="23">
        <f>IF(Κανονικοποίηση!M$2=0, IF(Κανονικοποίηση!$I2=0, 1, 1/9), IF(Κανονικοποίηση!$I2=0, 9, MIN(MAX(Κανονικοποίηση!$I2/Κανονικοποίηση!M$2, 1/9), 9)))</f>
        <v>0.1111111111111111</v>
      </c>
      <c r="G184" s="23">
        <f>IF(Κανονικοποίηση!N$2=0, IF(Κανονικοποίηση!$I2=0, 1, 1/9), IF(Κανονικοποίηση!$I2=0, 9, MIN(MAX(Κανονικοποίηση!$I2/Κανονικοποίηση!N$2, 1/9), 9)))</f>
        <v>0.1111111111111111</v>
      </c>
      <c r="H184" s="23">
        <f>IF(Κανονικοποίηση!O$2=0, IF(Κανονικοποίηση!$I2=0, 1, 1/9), IF(Κανονικοποίηση!$I2=0, 9, MIN(MAX(Κανονικοποίηση!$I2/Κανονικοποίηση!O$2, 1/9), 9)))</f>
        <v>0.1111111111111111</v>
      </c>
      <c r="I184" s="74"/>
    </row>
    <row r="185" spans="1:9">
      <c r="A185" s="47" t="s">
        <v>12</v>
      </c>
      <c r="B185" s="23">
        <f>IF(Κανονικοποίηση!I$2=0, IF(Κανονικοποίηση!$I3=0, 1, 1/9), IF(Κανονικοποίηση!$I3=0, 9, MIN(MAX(Κανονικοποίηση!$I3/Κανονικοποίηση!I$2, 1/9), 9)))</f>
        <v>1</v>
      </c>
      <c r="C185" s="23">
        <f>IF(Κανονικοποίηση!J$2=0, IF(Κανονικοποίηση!$I3=0, 1, 1/9), IF(Κανονικοποίηση!$I3=0, 9, MIN(MAX(Κανονικοποίηση!$I3/Κανονικοποίηση!J$2, 1/9), 9)))</f>
        <v>0.5</v>
      </c>
      <c r="D185" s="23">
        <f>IF(Κανονικοποίηση!K$2=0, IF(Κανονικοποίηση!$I3=0, 1, 1/9), IF(Κανονικοποίηση!$I3=0, 9, MIN(MAX(Κανονικοποίηση!$I3/Κανονικοποίηση!K$2, 1/9), 9)))</f>
        <v>1.1000000000000001</v>
      </c>
      <c r="E185" s="23">
        <f>IF(Κανονικοποίηση!L$2=0, IF(Κανονικοποίηση!$I3=0, 1, 1/9), IF(Κανονικοποίηση!$I3=0, 9, MIN(MAX(Κανονικοποίηση!$I3/Κανονικοποίηση!L$2, 1/9), 9)))</f>
        <v>0.1111111111111111</v>
      </c>
      <c r="F185" s="23">
        <f>IF(Κανονικοποίηση!M$2=0, IF(Κανονικοποίηση!$I3=0, 1, 1/9), IF(Κανονικοποίηση!$I3=0, 9, MIN(MAX(Κανονικοποίηση!$I3/Κανονικοποίηση!M$2, 1/9), 9)))</f>
        <v>0.1111111111111111</v>
      </c>
      <c r="G185" s="23">
        <f>IF(Κανονικοποίηση!N$2=0, IF(Κανονικοποίηση!$I3=0, 1, 1/9), IF(Κανονικοποίηση!$I3=0, 9, MIN(MAX(Κανονικοποίηση!$I3/Κανονικοποίηση!N$2, 1/9), 9)))</f>
        <v>0.1111111111111111</v>
      </c>
      <c r="H185" s="23">
        <f>IF(Κανονικοποίηση!O$2=0, IF(Κανονικοποίηση!$I3=0, 1, 1/9), IF(Κανονικοποίηση!$I3=0, 9, MIN(MAX(Κανονικοποίηση!$I3/Κανονικοποίηση!O$2, 1/9), 9)))</f>
        <v>0.1111111111111111</v>
      </c>
      <c r="I185" s="74"/>
    </row>
    <row r="186" spans="1:9">
      <c r="A186" s="47" t="s">
        <v>13</v>
      </c>
      <c r="B186" s="23">
        <f>IF(Κανονικοποίηση!I$2=0, IF(Κανονικοποίηση!$I4=0, 1, 1/9), IF(Κανονικοποίηση!$I4=0, 9, MIN(MAX(Κανονικοποίηση!$I4/Κανονικοποίηση!I$2, 1/9), 9)))</f>
        <v>0.5</v>
      </c>
      <c r="C186" s="23">
        <f>IF(Κανονικοποίηση!J$2=0, IF(Κανονικοποίηση!$I4=0, 1, 1/9), IF(Κανονικοποίηση!$I4=0, 9, MIN(MAX(Κανονικοποίηση!$I4/Κανονικοποίηση!J$2, 1/9), 9)))</f>
        <v>0.25</v>
      </c>
      <c r="D186" s="23">
        <f>IF(Κανονικοποίηση!K$2=0, IF(Κανονικοποίηση!$I4=0, 1, 1/9), IF(Κανονικοποίηση!$I4=0, 9, MIN(MAX(Κανονικοποίηση!$I4/Κανονικοποίηση!K$2, 1/9), 9)))</f>
        <v>0.55000000000000004</v>
      </c>
      <c r="E186" s="23">
        <f>IF(Κανονικοποίηση!L$2=0, IF(Κανονικοποίηση!$I4=0, 1, 1/9), IF(Κανονικοποίηση!$I4=0, 9, MIN(MAX(Κανονικοποίηση!$I4/Κανονικοποίηση!L$2, 1/9), 9)))</f>
        <v>0.1111111111111111</v>
      </c>
      <c r="F186" s="23">
        <f>IF(Κανονικοποίηση!M$2=0, IF(Κανονικοποίηση!$I4=0, 1, 1/9), IF(Κανονικοποίηση!$I4=0, 9, MIN(MAX(Κανονικοποίηση!$I4/Κανονικοποίηση!M$2, 1/9), 9)))</f>
        <v>0.1111111111111111</v>
      </c>
      <c r="G186" s="23">
        <f>IF(Κανονικοποίηση!N$2=0, IF(Κανονικοποίηση!$I4=0, 1, 1/9), IF(Κανονικοποίηση!$I4=0, 9, MIN(MAX(Κανονικοποίηση!$I4/Κανονικοποίηση!N$2, 1/9), 9)))</f>
        <v>0.1111111111111111</v>
      </c>
      <c r="H186" s="23">
        <f>IF(Κανονικοποίηση!O$2=0, IF(Κανονικοποίηση!$I4=0, 1, 1/9), IF(Κανονικοποίηση!$I4=0, 9, MIN(MAX(Κανονικοποίηση!$I4/Κανονικοποίηση!O$2, 1/9), 9)))</f>
        <v>0.1111111111111111</v>
      </c>
      <c r="I186" s="74"/>
    </row>
    <row r="187" spans="1:9">
      <c r="A187" s="47" t="s">
        <v>14</v>
      </c>
      <c r="B187" s="23">
        <f>IF(Κανονικοποίηση!I$2=0, IF(Κανονικοποίηση!$I5=0, 1, 1/9), IF(Κανονικοποίηση!$I5=0, 9, MIN(MAX(Κανονικοποίηση!$I5/Κανονικοποίηση!I$2, 1/9), 9)))</f>
        <v>2</v>
      </c>
      <c r="C187" s="23">
        <f>IF(Κανονικοποίηση!J$2=0, IF(Κανονικοποίηση!$I5=0, 1, 1/9), IF(Κανονικοποίηση!$I5=0, 9, MIN(MAX(Κανονικοποίηση!$I5/Κανονικοποίηση!J$2, 1/9), 9)))</f>
        <v>1</v>
      </c>
      <c r="D187" s="23">
        <f>IF(Κανονικοποίηση!K$2=0, IF(Κανονικοποίηση!$I5=0, 1, 1/9), IF(Κανονικοποίηση!$I5=0, 9, MIN(MAX(Κανονικοποίηση!$I5/Κανονικοποίηση!K$2, 1/9), 9)))</f>
        <v>2.2000000000000002</v>
      </c>
      <c r="E187" s="23">
        <f>IF(Κανονικοποίηση!L$2=0, IF(Κανονικοποίηση!$I5=0, 1, 1/9), IF(Κανονικοποίηση!$I5=0, 9, MIN(MAX(Κανονικοποίηση!$I5/Κανονικοποίηση!L$2, 1/9), 9)))</f>
        <v>0.1111111111111111</v>
      </c>
      <c r="F187" s="23">
        <f>IF(Κανονικοποίηση!M$2=0, IF(Κανονικοποίηση!$I5=0, 1, 1/9), IF(Κανονικοποίηση!$I5=0, 9, MIN(MAX(Κανονικοποίηση!$I5/Κανονικοποίηση!M$2, 1/9), 9)))</f>
        <v>0.1111111111111111</v>
      </c>
      <c r="G187" s="23">
        <f>IF(Κανονικοποίηση!N$2=0, IF(Κανονικοποίηση!$I5=0, 1, 1/9), IF(Κανονικοποίηση!$I5=0, 9, MIN(MAX(Κανονικοποίηση!$I5/Κανονικοποίηση!N$2, 1/9), 9)))</f>
        <v>0.1111111111111111</v>
      </c>
      <c r="H187" s="23">
        <f>IF(Κανονικοποίηση!O$2=0, IF(Κανονικοποίηση!$I5=0, 1, 1/9), IF(Κανονικοποίηση!$I5=0, 9, MIN(MAX(Κανονικοποίηση!$I5/Κανονικοποίηση!O$2, 1/9), 9)))</f>
        <v>0.1111111111111111</v>
      </c>
      <c r="I187" s="74"/>
    </row>
    <row r="188" spans="1:9">
      <c r="A188" s="47" t="s">
        <v>15</v>
      </c>
      <c r="B188" s="23">
        <f>IF(Κανονικοποίηση!I$2=0, IF(Κανονικοποίηση!$I6=0, 1, 1/9), IF(Κανονικοποίηση!$I6=0, 9, MIN(MAX(Κανονικοποίηση!$I6/Κανονικοποίηση!I$2, 1/9), 9)))</f>
        <v>9</v>
      </c>
      <c r="C188" s="23">
        <f>IF(Κανονικοποίηση!J$2=0, IF(Κανονικοποίηση!$I6=0, 1, 1/9), IF(Κανονικοποίηση!$I6=0, 9, MIN(MAX(Κανονικοποίηση!$I6/Κανονικοποίηση!J$2, 1/9), 9)))</f>
        <v>9</v>
      </c>
      <c r="D188" s="23">
        <f>IF(Κανονικοποίηση!K$2=0, IF(Κανονικοποίηση!$I6=0, 1, 1/9), IF(Κανονικοποίηση!$I6=0, 9, MIN(MAX(Κανονικοποίηση!$I6/Κανονικοποίηση!K$2, 1/9), 9)))</f>
        <v>9</v>
      </c>
      <c r="E188" s="23">
        <f>IF(Κανονικοποίηση!L$2=0, IF(Κανονικοποίηση!$I6=0, 1, 1/9), IF(Κανονικοποίηση!$I6=0, 9, MIN(MAX(Κανονικοποίηση!$I6/Κανονικοποίηση!L$2, 1/9), 9)))</f>
        <v>1</v>
      </c>
      <c r="F188" s="23">
        <f>IF(Κανονικοποίηση!M$2=0, IF(Κανονικοποίηση!$I6=0, 1, 1/9), IF(Κανονικοποίηση!$I6=0, 9, MIN(MAX(Κανονικοποίηση!$I6/Κανονικοποίηση!M$2, 1/9), 9)))</f>
        <v>1</v>
      </c>
      <c r="G188" s="23">
        <f>IF(Κανονικοποίηση!N$2=0, IF(Κανονικοποίηση!$I6=0, 1, 1/9), IF(Κανονικοποίηση!$I6=0, 9, MIN(MAX(Κανονικοποίηση!$I6/Κανονικοποίηση!N$2, 1/9), 9)))</f>
        <v>1</v>
      </c>
      <c r="H188" s="23">
        <f>IF(Κανονικοποίηση!O$2=0, IF(Κανονικοποίηση!$I6=0, 1, 1/9), IF(Κανονικοποίηση!$I6=0, 9, MIN(MAX(Κανονικοποίηση!$I6/Κανονικοποίηση!O$2, 1/9), 9)))</f>
        <v>1</v>
      </c>
      <c r="I188" s="74"/>
    </row>
    <row r="189" spans="1:9">
      <c r="A189" s="47" t="s">
        <v>16</v>
      </c>
      <c r="B189" s="23">
        <f>IF(Κανονικοποίηση!I$2=0, IF(Κανονικοποίηση!$I7=0, 1, 1/9), IF(Κανονικοποίηση!$I7=0, 9, MIN(MAX(Κανονικοποίηση!$I7/Κανονικοποίηση!I$2, 1/9), 9)))</f>
        <v>1.5</v>
      </c>
      <c r="C189" s="23">
        <f>IF(Κανονικοποίηση!J$2=0, IF(Κανονικοποίηση!$I7=0, 1, 1/9), IF(Κανονικοποίηση!$I7=0, 9, MIN(MAX(Κανονικοποίηση!$I7/Κανονικοποίηση!J$2, 1/9), 9)))</f>
        <v>0.75</v>
      </c>
      <c r="D189" s="23">
        <f>IF(Κανονικοποίηση!K$2=0, IF(Κανονικοποίηση!$I7=0, 1, 1/9), IF(Κανονικοποίηση!$I7=0, 9, MIN(MAX(Κανονικοποίηση!$I7/Κανονικοποίηση!K$2, 1/9), 9)))</f>
        <v>1.6500000000000001</v>
      </c>
      <c r="E189" s="23">
        <f>IF(Κανονικοποίηση!L$2=0, IF(Κανονικοποίηση!$I7=0, 1, 1/9), IF(Κανονικοποίηση!$I7=0, 9, MIN(MAX(Κανονικοποίηση!$I7/Κανονικοποίηση!L$2, 1/9), 9)))</f>
        <v>0.1111111111111111</v>
      </c>
      <c r="F189" s="23">
        <f>IF(Κανονικοποίηση!M$2=0, IF(Κανονικοποίηση!$I7=0, 1, 1/9), IF(Κανονικοποίηση!$I7=0, 9, MIN(MAX(Κανονικοποίηση!$I7/Κανονικοποίηση!M$2, 1/9), 9)))</f>
        <v>0.1111111111111111</v>
      </c>
      <c r="G189" s="23">
        <f>IF(Κανονικοποίηση!N$2=0, IF(Κανονικοποίηση!$I7=0, 1, 1/9), IF(Κανονικοποίηση!$I7=0, 9, MIN(MAX(Κανονικοποίηση!$I7/Κανονικοποίηση!N$2, 1/9), 9)))</f>
        <v>0.1111111111111111</v>
      </c>
      <c r="H189" s="23">
        <f>IF(Κανονικοποίηση!O$2=0, IF(Κανονικοποίηση!$I7=0, 1, 1/9), IF(Κανονικοποίηση!$I7=0, 9, MIN(MAX(Κανονικοποίηση!$I7/Κανονικοποίηση!O$2, 1/9), 9)))</f>
        <v>0.1111111111111111</v>
      </c>
      <c r="I189" s="74"/>
    </row>
    <row r="190" spans="1:9">
      <c r="A190" s="47" t="s">
        <v>17</v>
      </c>
      <c r="B190" s="23">
        <f>IF(Κανονικοποίηση!I$2=0, IF(Κανονικοποίηση!$I8=0, 1, 1/9), IF(Κανονικοποίηση!$I8=0, 9, MIN(MAX(Κανονικοποίηση!$I8/Κανονικοποίηση!I$2, 1/9), 9)))</f>
        <v>0.5</v>
      </c>
      <c r="C190" s="23">
        <f>IF(Κανονικοποίηση!J$2=0, IF(Κανονικοποίηση!$I8=0, 1, 1/9), IF(Κανονικοποίηση!$I8=0, 9, MIN(MAX(Κανονικοποίηση!$I8/Κανονικοποίηση!J$2, 1/9), 9)))</f>
        <v>0.25</v>
      </c>
      <c r="D190" s="23">
        <f>IF(Κανονικοποίηση!K$2=0, IF(Κανονικοποίηση!$I8=0, 1, 1/9), IF(Κανονικοποίηση!$I8=0, 9, MIN(MAX(Κανονικοποίηση!$I8/Κανονικοποίηση!K$2, 1/9), 9)))</f>
        <v>0.55000000000000004</v>
      </c>
      <c r="E190" s="23">
        <f>IF(Κανονικοποίηση!L$2=0, IF(Κανονικοποίηση!$I8=0, 1, 1/9), IF(Κανονικοποίηση!$I8=0, 9, MIN(MAX(Κανονικοποίηση!$I8/Κανονικοποίηση!L$2, 1/9), 9)))</f>
        <v>0.1111111111111111</v>
      </c>
      <c r="F190" s="23">
        <f>IF(Κανονικοποίηση!M$2=0, IF(Κανονικοποίηση!$I8=0, 1, 1/9), IF(Κανονικοποίηση!$I8=0, 9, MIN(MAX(Κανονικοποίηση!$I8/Κανονικοποίηση!M$2, 1/9), 9)))</f>
        <v>0.1111111111111111</v>
      </c>
      <c r="G190" s="23">
        <f>IF(Κανονικοποίηση!N$2=0, IF(Κανονικοποίηση!$I8=0, 1, 1/9), IF(Κανονικοποίηση!$I8=0, 9, MIN(MAX(Κανονικοποίηση!$I8/Κανονικοποίηση!N$2, 1/9), 9)))</f>
        <v>0.1111111111111111</v>
      </c>
      <c r="H190" s="23">
        <f>IF(Κανονικοποίηση!O$2=0, IF(Κανονικοποίηση!$I8=0, 1, 1/9), IF(Κανονικοποίηση!$I8=0, 9, MIN(MAX(Κανονικοποίηση!$I8/Κανονικοποίηση!O$2, 1/9), 9)))</f>
        <v>0.1111111111111111</v>
      </c>
      <c r="I190" s="74"/>
    </row>
    <row r="191" spans="1:9">
      <c r="A191" s="47" t="s">
        <v>75</v>
      </c>
      <c r="B191" s="14">
        <f>SUM(B184:B190)</f>
        <v>15.5</v>
      </c>
      <c r="C191" s="14">
        <f t="shared" ref="C191:H191" si="63">SUM(C184:C190)</f>
        <v>12.25</v>
      </c>
      <c r="D191" s="14">
        <f t="shared" si="63"/>
        <v>16.149999999999999</v>
      </c>
      <c r="E191" s="14">
        <f t="shared" si="63"/>
        <v>1.6666666666666667</v>
      </c>
      <c r="F191" s="14">
        <f t="shared" si="63"/>
        <v>1.6666666666666667</v>
      </c>
      <c r="G191" s="14">
        <f t="shared" si="63"/>
        <v>1.6666666666666667</v>
      </c>
      <c r="H191" s="14">
        <f t="shared" si="63"/>
        <v>1.6666666666666667</v>
      </c>
      <c r="I191" s="75"/>
    </row>
    <row r="192" spans="1:9">
      <c r="A192" s="28"/>
      <c r="B192" s="29"/>
      <c r="C192" s="29"/>
      <c r="D192" s="29"/>
      <c r="E192" s="29"/>
      <c r="F192" s="29"/>
      <c r="G192" s="29"/>
      <c r="H192" s="29"/>
      <c r="I192" s="30"/>
    </row>
    <row r="193" spans="1:9">
      <c r="A193" s="77" t="s">
        <v>76</v>
      </c>
      <c r="B193" s="77"/>
      <c r="C193" s="77"/>
      <c r="D193" s="77"/>
      <c r="E193" s="77"/>
      <c r="F193" s="77"/>
      <c r="G193" s="77"/>
      <c r="H193" s="77"/>
      <c r="I193" s="77"/>
    </row>
    <row r="194" spans="1:9">
      <c r="A194" s="57" t="s">
        <v>23</v>
      </c>
      <c r="B194" s="56" t="s">
        <v>80</v>
      </c>
      <c r="C194" s="56" t="s">
        <v>81</v>
      </c>
      <c r="D194" s="56" t="s">
        <v>13</v>
      </c>
      <c r="E194" s="56" t="s">
        <v>14</v>
      </c>
      <c r="F194" s="56" t="s">
        <v>82</v>
      </c>
      <c r="G194" s="56" t="s">
        <v>83</v>
      </c>
      <c r="H194" s="56" t="s">
        <v>84</v>
      </c>
      <c r="I194" s="56" t="s">
        <v>77</v>
      </c>
    </row>
    <row r="195" spans="1:9">
      <c r="A195" s="47" t="s">
        <v>11</v>
      </c>
      <c r="B195" s="23">
        <f>(B184/B$191)</f>
        <v>6.4516129032258063E-2</v>
      </c>
      <c r="C195" s="23">
        <f t="shared" ref="C195:H195" si="64">(C184/C$191)</f>
        <v>4.0816326530612242E-2</v>
      </c>
      <c r="D195" s="23">
        <f t="shared" si="64"/>
        <v>6.8111455108359142E-2</v>
      </c>
      <c r="E195" s="23">
        <f t="shared" si="64"/>
        <v>6.6666666666666666E-2</v>
      </c>
      <c r="F195" s="23">
        <f t="shared" si="64"/>
        <v>6.6666666666666666E-2</v>
      </c>
      <c r="G195" s="23">
        <f t="shared" si="64"/>
        <v>6.6666666666666666E-2</v>
      </c>
      <c r="H195" s="23">
        <f t="shared" si="64"/>
        <v>6.6666666666666666E-2</v>
      </c>
      <c r="I195" s="14">
        <f>AVERAGE(B195:H195)</f>
        <v>6.2872939619699433E-2</v>
      </c>
    </row>
    <row r="196" spans="1:9">
      <c r="A196" s="47" t="s">
        <v>12</v>
      </c>
      <c r="B196" s="23">
        <f t="shared" ref="B196:H196" si="65">(B185/B$191)</f>
        <v>6.4516129032258063E-2</v>
      </c>
      <c r="C196" s="23">
        <f t="shared" si="65"/>
        <v>4.0816326530612242E-2</v>
      </c>
      <c r="D196" s="23">
        <f t="shared" si="65"/>
        <v>6.8111455108359142E-2</v>
      </c>
      <c r="E196" s="23">
        <f t="shared" si="65"/>
        <v>6.6666666666666666E-2</v>
      </c>
      <c r="F196" s="23">
        <f t="shared" si="65"/>
        <v>6.6666666666666666E-2</v>
      </c>
      <c r="G196" s="23">
        <f t="shared" si="65"/>
        <v>6.6666666666666666E-2</v>
      </c>
      <c r="H196" s="23">
        <f t="shared" si="65"/>
        <v>6.6666666666666666E-2</v>
      </c>
      <c r="I196" s="14">
        <f t="shared" ref="I196:I201" si="66">AVERAGE(B196:H196)</f>
        <v>6.2872939619699433E-2</v>
      </c>
    </row>
    <row r="197" spans="1:9">
      <c r="A197" s="47" t="s">
        <v>13</v>
      </c>
      <c r="B197" s="23">
        <f t="shared" ref="B197:H197" si="67">(B186/B$191)</f>
        <v>3.2258064516129031E-2</v>
      </c>
      <c r="C197" s="23">
        <f t="shared" si="67"/>
        <v>2.0408163265306121E-2</v>
      </c>
      <c r="D197" s="23">
        <f t="shared" si="67"/>
        <v>3.4055727554179571E-2</v>
      </c>
      <c r="E197" s="23">
        <f t="shared" si="67"/>
        <v>6.6666666666666666E-2</v>
      </c>
      <c r="F197" s="23">
        <f t="shared" si="67"/>
        <v>6.6666666666666666E-2</v>
      </c>
      <c r="G197" s="23">
        <f t="shared" si="67"/>
        <v>6.6666666666666666E-2</v>
      </c>
      <c r="H197" s="23">
        <f t="shared" si="67"/>
        <v>6.6666666666666666E-2</v>
      </c>
      <c r="I197" s="14">
        <f t="shared" si="66"/>
        <v>5.0484088857468759E-2</v>
      </c>
    </row>
    <row r="198" spans="1:9">
      <c r="A198" s="47" t="s">
        <v>14</v>
      </c>
      <c r="B198" s="23">
        <f t="shared" ref="B198:H198" si="68">(B187/B$191)</f>
        <v>0.12903225806451613</v>
      </c>
      <c r="C198" s="23">
        <f t="shared" si="68"/>
        <v>8.1632653061224483E-2</v>
      </c>
      <c r="D198" s="23">
        <f t="shared" si="68"/>
        <v>0.13622291021671828</v>
      </c>
      <c r="E198" s="23">
        <f t="shared" si="68"/>
        <v>6.6666666666666666E-2</v>
      </c>
      <c r="F198" s="23">
        <f t="shared" si="68"/>
        <v>6.6666666666666666E-2</v>
      </c>
      <c r="G198" s="23">
        <f t="shared" si="68"/>
        <v>6.6666666666666666E-2</v>
      </c>
      <c r="H198" s="23">
        <f t="shared" si="68"/>
        <v>6.6666666666666666E-2</v>
      </c>
      <c r="I198" s="14">
        <f t="shared" si="66"/>
        <v>8.7650641144160782E-2</v>
      </c>
    </row>
    <row r="199" spans="1:9">
      <c r="A199" s="47" t="s">
        <v>15</v>
      </c>
      <c r="B199" s="23">
        <f t="shared" ref="B199:H199" si="69">(B188/B$191)</f>
        <v>0.58064516129032262</v>
      </c>
      <c r="C199" s="23">
        <f t="shared" si="69"/>
        <v>0.73469387755102045</v>
      </c>
      <c r="D199" s="23">
        <f t="shared" si="69"/>
        <v>0.55727554179566563</v>
      </c>
      <c r="E199" s="23">
        <f t="shared" si="69"/>
        <v>0.6</v>
      </c>
      <c r="F199" s="23">
        <f t="shared" si="69"/>
        <v>0.6</v>
      </c>
      <c r="G199" s="23">
        <f t="shared" si="69"/>
        <v>0.6</v>
      </c>
      <c r="H199" s="23">
        <f t="shared" si="69"/>
        <v>0.6</v>
      </c>
      <c r="I199" s="14">
        <f t="shared" si="66"/>
        <v>0.61037351151957264</v>
      </c>
    </row>
    <row r="200" spans="1:9">
      <c r="A200" s="47" t="s">
        <v>16</v>
      </c>
      <c r="B200" s="23">
        <f t="shared" ref="B200:H201" si="70">(B189/B$191)</f>
        <v>9.6774193548387094E-2</v>
      </c>
      <c r="C200" s="23">
        <f t="shared" si="70"/>
        <v>6.1224489795918366E-2</v>
      </c>
      <c r="D200" s="23">
        <f t="shared" si="70"/>
        <v>0.10216718266253871</v>
      </c>
      <c r="E200" s="23">
        <f t="shared" si="70"/>
        <v>6.6666666666666666E-2</v>
      </c>
      <c r="F200" s="23">
        <f t="shared" si="70"/>
        <v>6.6666666666666666E-2</v>
      </c>
      <c r="G200" s="23">
        <f t="shared" si="70"/>
        <v>6.6666666666666666E-2</v>
      </c>
      <c r="H200" s="23">
        <f t="shared" si="70"/>
        <v>6.6666666666666666E-2</v>
      </c>
      <c r="I200" s="14">
        <f t="shared" si="66"/>
        <v>7.5261790381930121E-2</v>
      </c>
    </row>
    <row r="201" spans="1:9">
      <c r="A201" s="47" t="s">
        <v>17</v>
      </c>
      <c r="B201" s="23">
        <f>(B190/B$191)</f>
        <v>3.2258064516129031E-2</v>
      </c>
      <c r="C201" s="23">
        <f t="shared" si="70"/>
        <v>2.0408163265306121E-2</v>
      </c>
      <c r="D201" s="23">
        <f t="shared" si="70"/>
        <v>3.4055727554179571E-2</v>
      </c>
      <c r="E201" s="23">
        <f t="shared" si="70"/>
        <v>6.6666666666666666E-2</v>
      </c>
      <c r="F201" s="23">
        <f t="shared" si="70"/>
        <v>6.6666666666666666E-2</v>
      </c>
      <c r="G201" s="23">
        <f t="shared" si="70"/>
        <v>6.6666666666666666E-2</v>
      </c>
      <c r="H201" s="23">
        <f>(H190/H$191)</f>
        <v>6.6666666666666666E-2</v>
      </c>
      <c r="I201" s="14">
        <f>AVERAGE(B201:H201)</f>
        <v>5.0484088857468759E-2</v>
      </c>
    </row>
    <row r="203" spans="1:9">
      <c r="A203" s="70" t="s">
        <v>92</v>
      </c>
      <c r="B203" s="71"/>
      <c r="C203" s="71"/>
      <c r="D203" s="71"/>
      <c r="E203" s="71"/>
      <c r="F203" s="71"/>
      <c r="G203" s="71"/>
      <c r="H203" s="71"/>
      <c r="I203" s="72"/>
    </row>
    <row r="204" spans="1:9">
      <c r="A204" s="57" t="s">
        <v>23</v>
      </c>
      <c r="B204" s="56" t="s">
        <v>80</v>
      </c>
      <c r="C204" s="56" t="s">
        <v>81</v>
      </c>
      <c r="D204" s="56" t="s">
        <v>13</v>
      </c>
      <c r="E204" s="56" t="s">
        <v>14</v>
      </c>
      <c r="F204" s="56" t="s">
        <v>82</v>
      </c>
      <c r="G204" s="56" t="s">
        <v>83</v>
      </c>
      <c r="H204" s="56" t="s">
        <v>84</v>
      </c>
      <c r="I204" s="73"/>
    </row>
    <row r="205" spans="1:9">
      <c r="A205" s="47" t="s">
        <v>11</v>
      </c>
      <c r="B205" s="23">
        <f>IF(Κανονικοποίηση!J$2=0, IF(Κανονικοποίηση!$J2=0, 1, 1/9), IF(Κανονικοποίηση!$J2=0, 9, MIN(MAX(Κανονικοποίηση!$J2/Κανονικοποίηση!J$2, 1/9), 9)))</f>
        <v>1</v>
      </c>
      <c r="C205" s="23">
        <f>IF(Κανονικοποίηση!K$2=0, IF(Κανονικοποίηση!$J2=0, 1, 1/9), IF(Κανονικοποίηση!$J2=0, 9, MIN(MAX(Κανονικοποίηση!$J2/Κανονικοποίηση!K$2, 1/9), 9)))</f>
        <v>2.2000000000000002</v>
      </c>
      <c r="D205" s="23">
        <f>IF(Κανονικοποίηση!L$2=0, IF(Κανονικοποίηση!$J2=0, 1, 1/9), IF(Κανονικοποίηση!$J2=0, 9, MIN(MAX(Κανονικοποίηση!$J2/Κανονικοποίηση!L$2, 1/9), 9)))</f>
        <v>0.1111111111111111</v>
      </c>
      <c r="E205" s="23">
        <f>IF(Κανονικοποίηση!M$2=0, IF(Κανονικοποίηση!$J2=0, 1, 1/9), IF(Κανονικοποίηση!$J2=0, 9, MIN(MAX(Κανονικοποίηση!$J2/Κανονικοποίηση!M$2, 1/9), 9)))</f>
        <v>0.1111111111111111</v>
      </c>
      <c r="F205" s="23">
        <f>IF(Κανονικοποίηση!N$2=0, IF(Κανονικοποίηση!$J2=0, 1, 1/9), IF(Κανονικοποίηση!$J2=0, 9, MIN(MAX(Κανονικοποίηση!$J2/Κανονικοποίηση!N$2, 1/9), 9)))</f>
        <v>0.1111111111111111</v>
      </c>
      <c r="G205" s="23">
        <f>IF(Κανονικοποίηση!O$2=0, IF(Κανονικοποίηση!$J2=0, 1, 1/9), IF(Κανονικοποίηση!$J2=0, 9, MIN(MAX(Κανονικοποίηση!$J2/Κανονικοποίηση!O$2, 1/9), 9)))</f>
        <v>0.1111111111111111</v>
      </c>
      <c r="H205" s="23">
        <f>IF(Κανονικοποίηση!P$2=0, IF(Κανονικοποίηση!$J2=0, 1, 1/9), IF(Κανονικοποίηση!$J2=0, 9, MIN(MAX(Κανονικοποίηση!$J2/Κανονικοποίηση!P$2, 1/9), 9)))</f>
        <v>0.1111111111111111</v>
      </c>
      <c r="I205" s="74"/>
    </row>
    <row r="206" spans="1:9">
      <c r="A206" s="47" t="s">
        <v>12</v>
      </c>
      <c r="B206" s="23">
        <f>IF(Κανονικοποίηση!J$2=0, IF(Κανονικοποίηση!$J3=0, 1, 1/9), IF(Κανονικοποίηση!$J3=0, 9, MIN(MAX(Κανονικοποίηση!$J3/Κανονικοποίηση!J$2, 1/9), 9)))</f>
        <v>0.75</v>
      </c>
      <c r="C206" s="23">
        <f>IF(Κανονικοποίηση!K$2=0, IF(Κανονικοποίηση!$J3=0, 1, 1/9), IF(Κανονικοποίηση!$J3=0, 9, MIN(MAX(Κανονικοποίηση!$J3/Κανονικοποίηση!K$2, 1/9), 9)))</f>
        <v>1.6500000000000001</v>
      </c>
      <c r="D206" s="23">
        <f>IF(Κανονικοποίηση!L$2=0, IF(Κανονικοποίηση!$J3=0, 1, 1/9), IF(Κανονικοποίηση!$J3=0, 9, MIN(MAX(Κανονικοποίηση!$J3/Κανονικοποίηση!L$2, 1/9), 9)))</f>
        <v>0.1111111111111111</v>
      </c>
      <c r="E206" s="23">
        <f>IF(Κανονικοποίηση!M$2=0, IF(Κανονικοποίηση!$J3=0, 1, 1/9), IF(Κανονικοποίηση!$J3=0, 9, MIN(MAX(Κανονικοποίηση!$J3/Κανονικοποίηση!M$2, 1/9), 9)))</f>
        <v>0.1111111111111111</v>
      </c>
      <c r="F206" s="23">
        <f>IF(Κανονικοποίηση!N$2=0, IF(Κανονικοποίηση!$J3=0, 1, 1/9), IF(Κανονικοποίηση!$J3=0, 9, MIN(MAX(Κανονικοποίηση!$J3/Κανονικοποίηση!N$2, 1/9), 9)))</f>
        <v>0.1111111111111111</v>
      </c>
      <c r="G206" s="23">
        <f>IF(Κανονικοποίηση!O$2=0, IF(Κανονικοποίηση!$J3=0, 1, 1/9), IF(Κανονικοποίηση!$J3=0, 9, MIN(MAX(Κανονικοποίηση!$J3/Κανονικοποίηση!O$2, 1/9), 9)))</f>
        <v>0.1111111111111111</v>
      </c>
      <c r="H206" s="23">
        <f>IF(Κανονικοποίηση!P$2=0, IF(Κανονικοποίηση!$J3=0, 1, 1/9), IF(Κανονικοποίηση!$J3=0, 9, MIN(MAX(Κανονικοποίηση!$J3/Κανονικοποίηση!P$2, 1/9), 9)))</f>
        <v>0.1111111111111111</v>
      </c>
      <c r="I206" s="74"/>
    </row>
    <row r="207" spans="1:9">
      <c r="A207" s="47" t="s">
        <v>13</v>
      </c>
      <c r="B207" s="23">
        <f>IF(Κανονικοποίηση!J$2=0, IF(Κανονικοποίηση!$J4=0, 1, 1/9), IF(Κανονικοποίηση!$J4=0, 9, MIN(MAX(Κανονικοποίηση!$J4/Κανονικοποίηση!J$2, 1/9), 9)))</f>
        <v>0.5</v>
      </c>
      <c r="C207" s="23">
        <f>IF(Κανονικοποίηση!K$2=0, IF(Κανονικοποίηση!$J4=0, 1, 1/9), IF(Κανονικοποίηση!$J4=0, 9, MIN(MAX(Κανονικοποίηση!$J4/Κανονικοποίηση!K$2, 1/9), 9)))</f>
        <v>1.1000000000000001</v>
      </c>
      <c r="D207" s="23">
        <f>IF(Κανονικοποίηση!L$2=0, IF(Κανονικοποίηση!$J4=0, 1, 1/9), IF(Κανονικοποίηση!$J4=0, 9, MIN(MAX(Κανονικοποίηση!$J4/Κανονικοποίηση!L$2, 1/9), 9)))</f>
        <v>0.1111111111111111</v>
      </c>
      <c r="E207" s="23">
        <f>IF(Κανονικοποίηση!M$2=0, IF(Κανονικοποίηση!$J4=0, 1, 1/9), IF(Κανονικοποίηση!$J4=0, 9, MIN(MAX(Κανονικοποίηση!$J4/Κανονικοποίηση!M$2, 1/9), 9)))</f>
        <v>0.1111111111111111</v>
      </c>
      <c r="F207" s="23">
        <f>IF(Κανονικοποίηση!N$2=0, IF(Κανονικοποίηση!$J4=0, 1, 1/9), IF(Κανονικοποίηση!$J4=0, 9, MIN(MAX(Κανονικοποίηση!$J4/Κανονικοποίηση!N$2, 1/9), 9)))</f>
        <v>0.1111111111111111</v>
      </c>
      <c r="G207" s="23">
        <f>IF(Κανονικοποίηση!O$2=0, IF(Κανονικοποίηση!$J4=0, 1, 1/9), IF(Κανονικοποίηση!$J4=0, 9, MIN(MAX(Κανονικοποίηση!$J4/Κανονικοποίηση!O$2, 1/9), 9)))</f>
        <v>0.1111111111111111</v>
      </c>
      <c r="H207" s="23">
        <f>IF(Κανονικοποίηση!P$2=0, IF(Κανονικοποίηση!$J4=0, 1, 1/9), IF(Κανονικοποίηση!$J4=0, 9, MIN(MAX(Κανονικοποίηση!$J4/Κανονικοποίηση!P$2, 1/9), 9)))</f>
        <v>0.1111111111111111</v>
      </c>
      <c r="I207" s="74"/>
    </row>
    <row r="208" spans="1:9">
      <c r="A208" s="47" t="s">
        <v>14</v>
      </c>
      <c r="B208" s="23">
        <f>IF(Κανονικοποίηση!J$2=0, IF(Κανονικοποίηση!$J5=0, 1, 1/9), IF(Κανονικοποίηση!$J5=0, 9, MIN(MAX(Κανονικοποίηση!$J5/Κανονικοποίηση!J$2, 1/9), 9)))</f>
        <v>0.25</v>
      </c>
      <c r="C208" s="23">
        <f>IF(Κανονικοποίηση!K$2=0, IF(Κανονικοποίηση!$J5=0, 1, 1/9), IF(Κανονικοποίηση!$J5=0, 9, MIN(MAX(Κανονικοποίηση!$J5/Κανονικοποίηση!K$2, 1/9), 9)))</f>
        <v>0.55000000000000004</v>
      </c>
      <c r="D208" s="23">
        <f>IF(Κανονικοποίηση!L$2=0, IF(Κανονικοποίηση!$J5=0, 1, 1/9), IF(Κανονικοποίηση!$J5=0, 9, MIN(MAX(Κανονικοποίηση!$J5/Κανονικοποίηση!L$2, 1/9), 9)))</f>
        <v>0.1111111111111111</v>
      </c>
      <c r="E208" s="23">
        <f>IF(Κανονικοποίηση!M$2=0, IF(Κανονικοποίηση!$J5=0, 1, 1/9), IF(Κανονικοποίηση!$J5=0, 9, MIN(MAX(Κανονικοποίηση!$J5/Κανονικοποίηση!M$2, 1/9), 9)))</f>
        <v>0.1111111111111111</v>
      </c>
      <c r="F208" s="23">
        <f>IF(Κανονικοποίηση!N$2=0, IF(Κανονικοποίηση!$J5=0, 1, 1/9), IF(Κανονικοποίηση!$J5=0, 9, MIN(MAX(Κανονικοποίηση!$J5/Κανονικοποίηση!N$2, 1/9), 9)))</f>
        <v>0.1111111111111111</v>
      </c>
      <c r="G208" s="23">
        <f>IF(Κανονικοποίηση!O$2=0, IF(Κανονικοποίηση!$J5=0, 1, 1/9), IF(Κανονικοποίηση!$J5=0, 9, MIN(MAX(Κανονικοποίηση!$J5/Κανονικοποίηση!O$2, 1/9), 9)))</f>
        <v>0.1111111111111111</v>
      </c>
      <c r="H208" s="23">
        <f>IF(Κανονικοποίηση!P$2=0, IF(Κανονικοποίηση!$J5=0, 1, 1/9), IF(Κανονικοποίηση!$J5=0, 9, MIN(MAX(Κανονικοποίηση!$J5/Κανονικοποίηση!P$2, 1/9), 9)))</f>
        <v>0.1111111111111111</v>
      </c>
      <c r="I208" s="74"/>
    </row>
    <row r="209" spans="1:9">
      <c r="A209" s="47" t="s">
        <v>15</v>
      </c>
      <c r="B209" s="23">
        <f>IF(Κανονικοποίηση!J$2=0, IF(Κανονικοποίηση!$J6=0, 1, 1/9), IF(Κανονικοποίηση!$J6=0, 9, MIN(MAX(Κανονικοποίηση!$J6/Κανονικοποίηση!J$2, 1/9), 9)))</f>
        <v>9</v>
      </c>
      <c r="C209" s="23">
        <f>IF(Κανονικοποίηση!K$2=0, IF(Κανονικοποίηση!$J6=0, 1, 1/9), IF(Κανονικοποίηση!$J6=0, 9, MIN(MAX(Κανονικοποίηση!$J6/Κανονικοποίηση!K$2, 1/9), 9)))</f>
        <v>9</v>
      </c>
      <c r="D209" s="23">
        <f>IF(Κανονικοποίηση!L$2=0, IF(Κανονικοποίηση!$J6=0, 1, 1/9), IF(Κανονικοποίηση!$J6=0, 9, MIN(MAX(Κανονικοποίηση!$J6/Κανονικοποίηση!L$2, 1/9), 9)))</f>
        <v>1</v>
      </c>
      <c r="E209" s="23">
        <f>IF(Κανονικοποίηση!M$2=0, IF(Κανονικοποίηση!$J6=0, 1, 1/9), IF(Κανονικοποίηση!$J6=0, 9, MIN(MAX(Κανονικοποίηση!$J6/Κανονικοποίηση!M$2, 1/9), 9)))</f>
        <v>1</v>
      </c>
      <c r="F209" s="23">
        <f>IF(Κανονικοποίηση!N$2=0, IF(Κανονικοποίηση!$J6=0, 1, 1/9), IF(Κανονικοποίηση!$J6=0, 9, MIN(MAX(Κανονικοποίηση!$J6/Κανονικοποίηση!N$2, 1/9), 9)))</f>
        <v>1</v>
      </c>
      <c r="G209" s="23">
        <f>IF(Κανονικοποίηση!O$2=0, IF(Κανονικοποίηση!$J6=0, 1, 1/9), IF(Κανονικοποίηση!$J6=0, 9, MIN(MAX(Κανονικοποίηση!$J6/Κανονικοποίηση!O$2, 1/9), 9)))</f>
        <v>1</v>
      </c>
      <c r="H209" s="23">
        <f>IF(Κανονικοποίηση!P$2=0, IF(Κανονικοποίηση!$J6=0, 1, 1/9), IF(Κανονικοποίηση!$J6=0, 9, MIN(MAX(Κανονικοποίηση!$J6/Κανονικοποίηση!P$2, 1/9), 9)))</f>
        <v>1</v>
      </c>
      <c r="I209" s="74"/>
    </row>
    <row r="210" spans="1:9">
      <c r="A210" s="47" t="s">
        <v>16</v>
      </c>
      <c r="B210" s="23">
        <f>IF(Κανονικοποίηση!J$2=0, IF(Κανονικοποίηση!$J7=0, 1, 1/9), IF(Κανονικοποίηση!$J7=0, 9, MIN(MAX(Κανονικοποίηση!$J7/Κανονικοποίηση!J$2, 1/9), 9)))</f>
        <v>0.75</v>
      </c>
      <c r="C210" s="23">
        <f>IF(Κανονικοποίηση!K$2=0, IF(Κανονικοποίηση!$J7=0, 1, 1/9), IF(Κανονικοποίηση!$J7=0, 9, MIN(MAX(Κανονικοποίηση!$J7/Κανονικοποίηση!K$2, 1/9), 9)))</f>
        <v>1.6500000000000001</v>
      </c>
      <c r="D210" s="23">
        <f>IF(Κανονικοποίηση!L$2=0, IF(Κανονικοποίηση!$J7=0, 1, 1/9), IF(Κανονικοποίηση!$J7=0, 9, MIN(MAX(Κανονικοποίηση!$J7/Κανονικοποίηση!L$2, 1/9), 9)))</f>
        <v>0.1111111111111111</v>
      </c>
      <c r="E210" s="23">
        <f>IF(Κανονικοποίηση!M$2=0, IF(Κανονικοποίηση!$J7=0, 1, 1/9), IF(Κανονικοποίηση!$J7=0, 9, MIN(MAX(Κανονικοποίηση!$J7/Κανονικοποίηση!M$2, 1/9), 9)))</f>
        <v>0.1111111111111111</v>
      </c>
      <c r="F210" s="23">
        <f>IF(Κανονικοποίηση!N$2=0, IF(Κανονικοποίηση!$J7=0, 1, 1/9), IF(Κανονικοποίηση!$J7=0, 9, MIN(MAX(Κανονικοποίηση!$J7/Κανονικοποίηση!N$2, 1/9), 9)))</f>
        <v>0.1111111111111111</v>
      </c>
      <c r="G210" s="23">
        <f>IF(Κανονικοποίηση!O$2=0, IF(Κανονικοποίηση!$J7=0, 1, 1/9), IF(Κανονικοποίηση!$J7=0, 9, MIN(MAX(Κανονικοποίηση!$J7/Κανονικοποίηση!O$2, 1/9), 9)))</f>
        <v>0.1111111111111111</v>
      </c>
      <c r="H210" s="23">
        <f>IF(Κανονικοποίηση!P$2=0, IF(Κανονικοποίηση!$J7=0, 1, 1/9), IF(Κανονικοποίηση!$J7=0, 9, MIN(MAX(Κανονικοποίηση!$J7/Κανονικοποίηση!P$2, 1/9), 9)))</f>
        <v>0.1111111111111111</v>
      </c>
      <c r="I210" s="74"/>
    </row>
    <row r="211" spans="1:9">
      <c r="A211" s="47" t="s">
        <v>17</v>
      </c>
      <c r="B211" s="23">
        <f>IF(Κανονικοποίηση!J$2=0, IF(Κανονικοποίηση!$J8=0, 1, 1/9), IF(Κανονικοποίηση!$J8=0, 9, MIN(MAX(Κανονικοποίηση!$J8/Κανονικοποίηση!J$2, 1/9), 9)))</f>
        <v>0.25</v>
      </c>
      <c r="C211" s="23">
        <f>IF(Κανονικοποίηση!K$2=0, IF(Κανονικοποίηση!$J8=0, 1, 1/9), IF(Κανονικοποίηση!$J8=0, 9, MIN(MAX(Κανονικοποίηση!$J8/Κανονικοποίηση!K$2, 1/9), 9)))</f>
        <v>0.55000000000000004</v>
      </c>
      <c r="D211" s="23">
        <f>IF(Κανονικοποίηση!L$2=0, IF(Κανονικοποίηση!$J8=0, 1, 1/9), IF(Κανονικοποίηση!$J8=0, 9, MIN(MAX(Κανονικοποίηση!$J8/Κανονικοποίηση!L$2, 1/9), 9)))</f>
        <v>0.1111111111111111</v>
      </c>
      <c r="E211" s="23">
        <f>IF(Κανονικοποίηση!M$2=0, IF(Κανονικοποίηση!$J8=0, 1, 1/9), IF(Κανονικοποίηση!$J8=0, 9, MIN(MAX(Κανονικοποίηση!$J8/Κανονικοποίηση!M$2, 1/9), 9)))</f>
        <v>0.1111111111111111</v>
      </c>
      <c r="F211" s="23">
        <f>IF(Κανονικοποίηση!N$2=0, IF(Κανονικοποίηση!$J8=0, 1, 1/9), IF(Κανονικοποίηση!$J8=0, 9, MIN(MAX(Κανονικοποίηση!$J8/Κανονικοποίηση!N$2, 1/9), 9)))</f>
        <v>0.1111111111111111</v>
      </c>
      <c r="G211" s="23">
        <f>IF(Κανονικοποίηση!O$2=0, IF(Κανονικοποίηση!$J8=0, 1, 1/9), IF(Κανονικοποίηση!$J8=0, 9, MIN(MAX(Κανονικοποίηση!$J8/Κανονικοποίηση!O$2, 1/9), 9)))</f>
        <v>0.1111111111111111</v>
      </c>
      <c r="H211" s="23">
        <f>IF(Κανονικοποίηση!P$2=0, IF(Κανονικοποίηση!$J8=0, 1, 1/9), IF(Κανονικοποίηση!$J8=0, 9, MIN(MAX(Κανονικοποίηση!$J8/Κανονικοποίηση!P$2, 1/9), 9)))</f>
        <v>0.1111111111111111</v>
      </c>
      <c r="I211" s="74"/>
    </row>
    <row r="212" spans="1:9">
      <c r="A212" s="47" t="s">
        <v>75</v>
      </c>
      <c r="B212" s="14">
        <f>SUM(B205:B211)</f>
        <v>12.5</v>
      </c>
      <c r="C212" s="14">
        <f t="shared" ref="C212:H212" si="71">SUM(C205:C211)</f>
        <v>16.7</v>
      </c>
      <c r="D212" s="14">
        <f t="shared" si="71"/>
        <v>1.6666666666666667</v>
      </c>
      <c r="E212" s="14">
        <f t="shared" si="71"/>
        <v>1.6666666666666667</v>
      </c>
      <c r="F212" s="14">
        <f t="shared" si="71"/>
        <v>1.6666666666666667</v>
      </c>
      <c r="G212" s="14">
        <f t="shared" si="71"/>
        <v>1.6666666666666667</v>
      </c>
      <c r="H212" s="14">
        <f t="shared" si="71"/>
        <v>1.6666666666666667</v>
      </c>
      <c r="I212" s="75"/>
    </row>
    <row r="213" spans="1:9">
      <c r="A213" s="28"/>
      <c r="B213" s="29"/>
      <c r="C213" s="29"/>
      <c r="D213" s="29"/>
      <c r="E213" s="29"/>
      <c r="F213" s="29"/>
      <c r="G213" s="29"/>
      <c r="H213" s="29"/>
      <c r="I213" s="30"/>
    </row>
    <row r="214" spans="1:9">
      <c r="A214" s="77" t="s">
        <v>76</v>
      </c>
      <c r="B214" s="77"/>
      <c r="C214" s="77"/>
      <c r="D214" s="77"/>
      <c r="E214" s="77"/>
      <c r="F214" s="77"/>
      <c r="G214" s="77"/>
      <c r="H214" s="77"/>
      <c r="I214" s="77"/>
    </row>
    <row r="215" spans="1:9">
      <c r="A215" s="57" t="s">
        <v>23</v>
      </c>
      <c r="B215" s="56" t="s">
        <v>80</v>
      </c>
      <c r="C215" s="56" t="s">
        <v>81</v>
      </c>
      <c r="D215" s="56" t="s">
        <v>13</v>
      </c>
      <c r="E215" s="56" t="s">
        <v>14</v>
      </c>
      <c r="F215" s="56" t="s">
        <v>82</v>
      </c>
      <c r="G215" s="56" t="s">
        <v>83</v>
      </c>
      <c r="H215" s="56" t="s">
        <v>84</v>
      </c>
      <c r="I215" s="56" t="s">
        <v>77</v>
      </c>
    </row>
    <row r="216" spans="1:9">
      <c r="A216" s="47" t="s">
        <v>11</v>
      </c>
      <c r="B216" s="23">
        <f>(B205/B$212)</f>
        <v>0.08</v>
      </c>
      <c r="C216" s="23">
        <f t="shared" ref="C216:H216" si="72">(C205/C$212)</f>
        <v>0.1317365269461078</v>
      </c>
      <c r="D216" s="23">
        <f t="shared" si="72"/>
        <v>6.6666666666666666E-2</v>
      </c>
      <c r="E216" s="23">
        <f t="shared" si="72"/>
        <v>6.6666666666666666E-2</v>
      </c>
      <c r="F216" s="23">
        <f t="shared" si="72"/>
        <v>6.6666666666666666E-2</v>
      </c>
      <c r="G216" s="23">
        <f t="shared" si="72"/>
        <v>6.6666666666666666E-2</v>
      </c>
      <c r="H216" s="23">
        <f t="shared" si="72"/>
        <v>6.6666666666666666E-2</v>
      </c>
      <c r="I216" s="14">
        <f>AVERAGE(B216:H216)</f>
        <v>7.7867122897063004E-2</v>
      </c>
    </row>
    <row r="217" spans="1:9">
      <c r="A217" s="47" t="s">
        <v>12</v>
      </c>
      <c r="B217" s="23">
        <f t="shared" ref="B217:H217" si="73">(B206/B$212)</f>
        <v>0.06</v>
      </c>
      <c r="C217" s="23">
        <f t="shared" si="73"/>
        <v>9.8802395209580854E-2</v>
      </c>
      <c r="D217" s="23">
        <f t="shared" si="73"/>
        <v>6.6666666666666666E-2</v>
      </c>
      <c r="E217" s="23">
        <f t="shared" si="73"/>
        <v>6.6666666666666666E-2</v>
      </c>
      <c r="F217" s="23">
        <f t="shared" si="73"/>
        <v>6.6666666666666666E-2</v>
      </c>
      <c r="G217" s="23">
        <f t="shared" si="73"/>
        <v>6.6666666666666666E-2</v>
      </c>
      <c r="H217" s="23">
        <f t="shared" si="73"/>
        <v>6.6666666666666666E-2</v>
      </c>
      <c r="I217" s="14">
        <f t="shared" ref="I217:I222" si="74">AVERAGE(B217:H217)</f>
        <v>7.0305104077559161E-2</v>
      </c>
    </row>
    <row r="218" spans="1:9">
      <c r="A218" s="47" t="s">
        <v>13</v>
      </c>
      <c r="B218" s="23">
        <f t="shared" ref="B218:H218" si="75">(B207/B$212)</f>
        <v>0.04</v>
      </c>
      <c r="C218" s="23">
        <f t="shared" si="75"/>
        <v>6.5868263473053898E-2</v>
      </c>
      <c r="D218" s="23">
        <f t="shared" si="75"/>
        <v>6.6666666666666666E-2</v>
      </c>
      <c r="E218" s="23">
        <f t="shared" si="75"/>
        <v>6.6666666666666666E-2</v>
      </c>
      <c r="F218" s="23">
        <f t="shared" si="75"/>
        <v>6.6666666666666666E-2</v>
      </c>
      <c r="G218" s="23">
        <f t="shared" si="75"/>
        <v>6.6666666666666666E-2</v>
      </c>
      <c r="H218" s="23">
        <f t="shared" si="75"/>
        <v>6.6666666666666666E-2</v>
      </c>
      <c r="I218" s="14">
        <f t="shared" si="74"/>
        <v>6.2743085258055303E-2</v>
      </c>
    </row>
    <row r="219" spans="1:9">
      <c r="A219" s="47" t="s">
        <v>14</v>
      </c>
      <c r="B219" s="23">
        <f t="shared" ref="B219:H219" si="76">(B208/B$212)</f>
        <v>0.02</v>
      </c>
      <c r="C219" s="23">
        <f t="shared" si="76"/>
        <v>3.2934131736526949E-2</v>
      </c>
      <c r="D219" s="23">
        <f t="shared" si="76"/>
        <v>6.6666666666666666E-2</v>
      </c>
      <c r="E219" s="23">
        <f t="shared" si="76"/>
        <v>6.6666666666666666E-2</v>
      </c>
      <c r="F219" s="23">
        <f t="shared" si="76"/>
        <v>6.6666666666666666E-2</v>
      </c>
      <c r="G219" s="23">
        <f t="shared" si="76"/>
        <v>6.6666666666666666E-2</v>
      </c>
      <c r="H219" s="23">
        <f t="shared" si="76"/>
        <v>6.6666666666666666E-2</v>
      </c>
      <c r="I219" s="14">
        <f t="shared" si="74"/>
        <v>5.5181066438551467E-2</v>
      </c>
    </row>
    <row r="220" spans="1:9">
      <c r="A220" s="47" t="s">
        <v>15</v>
      </c>
      <c r="B220" s="23">
        <f t="shared" ref="B220:H220" si="77">(B209/B$212)</f>
        <v>0.72</v>
      </c>
      <c r="C220" s="23">
        <f t="shared" si="77"/>
        <v>0.53892215568862278</v>
      </c>
      <c r="D220" s="23">
        <f t="shared" si="77"/>
        <v>0.6</v>
      </c>
      <c r="E220" s="23">
        <f t="shared" si="77"/>
        <v>0.6</v>
      </c>
      <c r="F220" s="23">
        <f t="shared" si="77"/>
        <v>0.6</v>
      </c>
      <c r="G220" s="23">
        <f t="shared" si="77"/>
        <v>0.6</v>
      </c>
      <c r="H220" s="23">
        <f t="shared" si="77"/>
        <v>0.6</v>
      </c>
      <c r="I220" s="14">
        <f t="shared" si="74"/>
        <v>0.60841745081266041</v>
      </c>
    </row>
    <row r="221" spans="1:9">
      <c r="A221" s="47" t="s">
        <v>16</v>
      </c>
      <c r="B221" s="23">
        <f t="shared" ref="B221:H221" si="78">(B210/B$212)</f>
        <v>0.06</v>
      </c>
      <c r="C221" s="23">
        <f t="shared" si="78"/>
        <v>9.8802395209580854E-2</v>
      </c>
      <c r="D221" s="23">
        <f t="shared" si="78"/>
        <v>6.6666666666666666E-2</v>
      </c>
      <c r="E221" s="23">
        <f t="shared" si="78"/>
        <v>6.6666666666666666E-2</v>
      </c>
      <c r="F221" s="23">
        <f t="shared" si="78"/>
        <v>6.6666666666666666E-2</v>
      </c>
      <c r="G221" s="23">
        <f t="shared" si="78"/>
        <v>6.6666666666666666E-2</v>
      </c>
      <c r="H221" s="23">
        <f t="shared" si="78"/>
        <v>6.6666666666666666E-2</v>
      </c>
      <c r="I221" s="14">
        <f t="shared" si="74"/>
        <v>7.0305104077559161E-2</v>
      </c>
    </row>
    <row r="222" spans="1:9">
      <c r="A222" s="47" t="s">
        <v>17</v>
      </c>
      <c r="B222" s="23">
        <f t="shared" ref="B222:H222" si="79">(B211/B$212)</f>
        <v>0.02</v>
      </c>
      <c r="C222" s="23">
        <f t="shared" si="79"/>
        <v>3.2934131736526949E-2</v>
      </c>
      <c r="D222" s="23">
        <f t="shared" si="79"/>
        <v>6.6666666666666666E-2</v>
      </c>
      <c r="E222" s="23">
        <f t="shared" si="79"/>
        <v>6.6666666666666666E-2</v>
      </c>
      <c r="F222" s="23">
        <f t="shared" si="79"/>
        <v>6.6666666666666666E-2</v>
      </c>
      <c r="G222" s="23">
        <f t="shared" si="79"/>
        <v>6.6666666666666666E-2</v>
      </c>
      <c r="H222" s="23">
        <f t="shared" si="79"/>
        <v>6.6666666666666666E-2</v>
      </c>
      <c r="I222" s="14">
        <f>AVERAGE(B222:H222)</f>
        <v>5.5181066438551467E-2</v>
      </c>
    </row>
    <row r="224" spans="1:9">
      <c r="A224" s="70" t="s">
        <v>93</v>
      </c>
      <c r="B224" s="71"/>
      <c r="C224" s="71"/>
      <c r="D224" s="71"/>
      <c r="E224" s="71"/>
      <c r="F224" s="71"/>
      <c r="G224" s="71"/>
      <c r="H224" s="71"/>
      <c r="I224" s="72"/>
    </row>
    <row r="225" spans="1:9">
      <c r="A225" s="57" t="s">
        <v>23</v>
      </c>
      <c r="B225" s="56" t="s">
        <v>80</v>
      </c>
      <c r="C225" s="56" t="s">
        <v>81</v>
      </c>
      <c r="D225" s="56" t="s">
        <v>13</v>
      </c>
      <c r="E225" s="56" t="s">
        <v>14</v>
      </c>
      <c r="F225" s="56" t="s">
        <v>82</v>
      </c>
      <c r="G225" s="56" t="s">
        <v>83</v>
      </c>
      <c r="H225" s="56" t="s">
        <v>84</v>
      </c>
      <c r="I225" s="73"/>
    </row>
    <row r="226" spans="1:9">
      <c r="A226" s="47" t="s">
        <v>11</v>
      </c>
      <c r="B226" s="23">
        <f>IF(Κανονικοποίηση!K$2=0, IF(Κανονικοποίηση!$K2=0, 1, 1/9), IF(Κανονικοποίηση!$K2=0, 9, MIN(MAX(Κανονικοποίηση!$K2/Κανονικοποίηση!K$2, 1/9), 9)))</f>
        <v>1</v>
      </c>
      <c r="C226" s="23">
        <f>IF(Κανονικοποίηση!L$2=0, IF(Κανονικοποίηση!$K2=0, 1, 1/9), IF(Κανονικοποίηση!$K2=0, 9, MIN(MAX(Κανονικοποίηση!$K2/Κανονικοποίηση!L$2, 1/9), 9)))</f>
        <v>0.1111111111111111</v>
      </c>
      <c r="D226" s="23">
        <f>IF(Κανονικοποίηση!M$2=0, IF(Κανονικοποίηση!$K2=0, 1, 1/9), IF(Κανονικοποίηση!$K2=0, 9, MIN(MAX(Κανονικοποίηση!$K2/Κανονικοποίηση!M$2, 1/9), 9)))</f>
        <v>0.1111111111111111</v>
      </c>
      <c r="E226" s="23">
        <f>IF(Κανονικοποίηση!N$2=0, IF(Κανονικοποίηση!$K2=0, 1, 1/9), IF(Κανονικοποίηση!$K2=0, 9, MIN(MAX(Κανονικοποίηση!$K2/Κανονικοποίηση!N$2, 1/9), 9)))</f>
        <v>0.1111111111111111</v>
      </c>
      <c r="F226" s="23">
        <f>IF(Κανονικοποίηση!O$2=0, IF(Κανονικοποίηση!$K2=0, 1, 1/9), IF(Κανονικοποίηση!$K2=0, 9, MIN(MAX(Κανονικοποίηση!$K2/Κανονικοποίηση!O$2, 1/9), 9)))</f>
        <v>0.1111111111111111</v>
      </c>
      <c r="G226" s="23">
        <f>IF(Κανονικοποίηση!P$2=0, IF(Κανονικοποίηση!$K2=0, 1, 1/9), IF(Κανονικοποίηση!$K2=0, 9, MIN(MAX(Κανονικοποίηση!$K2/Κανονικοποίηση!P$2, 1/9), 9)))</f>
        <v>0.1111111111111111</v>
      </c>
      <c r="H226" s="23">
        <f>IF(Κανονικοποίηση!Q$2=0, IF(Κανονικοποίηση!$K2=0, 1, 1/9), IF(Κανονικοποίηση!$K2=0, 9, MIN(MAX(Κανονικοποίηση!$K2/Κανονικοποίηση!Q$2, 1/9), 9)))</f>
        <v>0.1111111111111111</v>
      </c>
      <c r="I226" s="74"/>
    </row>
    <row r="227" spans="1:9">
      <c r="A227" s="47" t="s">
        <v>12</v>
      </c>
      <c r="B227" s="23">
        <f>IF(Κανονικοποίηση!K$2=0, IF(Κανονικοποίηση!$K3=0, 1, 1/9), IF(Κανονικοποίηση!$K3=0, 9, MIN(MAX(Κανονικοποίηση!$K3/Κανονικοποίηση!K$2, 1/9), 9)))</f>
        <v>1.8000000000000003</v>
      </c>
      <c r="C227" s="23">
        <f>IF(Κανονικοποίηση!L$2=0, IF(Κανονικοποίηση!$K3=0, 1, 1/9), IF(Κανονικοποίηση!$K3=0, 9, MIN(MAX(Κανονικοποίηση!$K3/Κανονικοποίηση!L$2, 1/9), 9)))</f>
        <v>0.1111111111111111</v>
      </c>
      <c r="D227" s="23">
        <f>IF(Κανονικοποίηση!M$2=0, IF(Κανονικοποίηση!$K3=0, 1, 1/9), IF(Κανονικοποίηση!$K3=0, 9, MIN(MAX(Κανονικοποίηση!$K3/Κανονικοποίηση!M$2, 1/9), 9)))</f>
        <v>0.1111111111111111</v>
      </c>
      <c r="E227" s="23">
        <f>IF(Κανονικοποίηση!N$2=0, IF(Κανονικοποίηση!$K3=0, 1, 1/9), IF(Κανονικοποίηση!$K3=0, 9, MIN(MAX(Κανονικοποίηση!$K3/Κανονικοποίηση!N$2, 1/9), 9)))</f>
        <v>0.1111111111111111</v>
      </c>
      <c r="F227" s="23">
        <f>IF(Κανονικοποίηση!O$2=0, IF(Κανονικοποίηση!$K3=0, 1, 1/9), IF(Κανονικοποίηση!$K3=0, 9, MIN(MAX(Κανονικοποίηση!$K3/Κανονικοποίηση!O$2, 1/9), 9)))</f>
        <v>0.1111111111111111</v>
      </c>
      <c r="G227" s="23">
        <f>IF(Κανονικοποίηση!P$2=0, IF(Κανονικοποίηση!$K3=0, 1, 1/9), IF(Κανονικοποίηση!$K3=0, 9, MIN(MAX(Κανονικοποίηση!$K3/Κανονικοποίηση!P$2, 1/9), 9)))</f>
        <v>0.1111111111111111</v>
      </c>
      <c r="H227" s="23">
        <f>IF(Κανονικοποίηση!Q$2=0, IF(Κανονικοποίηση!$K3=0, 1, 1/9), IF(Κανονικοποίηση!$K3=0, 9, MIN(MAX(Κανονικοποίηση!$K3/Κανονικοποίηση!Q$2, 1/9), 9)))</f>
        <v>0.1111111111111111</v>
      </c>
      <c r="I227" s="74"/>
    </row>
    <row r="228" spans="1:9">
      <c r="A228" s="47" t="s">
        <v>13</v>
      </c>
      <c r="B228" s="23">
        <f>IF(Κανονικοποίηση!K$2=0, IF(Κανονικοποίηση!$K4=0, 1, 1/9), IF(Κανονικοποίηση!$K4=0, 9, MIN(MAX(Κανονικοποίηση!$K4/Κανονικοποίηση!K$2, 1/9), 9)))</f>
        <v>1.4000000000000001</v>
      </c>
      <c r="C228" s="23">
        <f>IF(Κανονικοποίηση!L$2=0, IF(Κανονικοποίηση!$K4=0, 1, 1/9), IF(Κανονικοποίηση!$K4=0, 9, MIN(MAX(Κανονικοποίηση!$K4/Κανονικοποίηση!L$2, 1/9), 9)))</f>
        <v>0.1111111111111111</v>
      </c>
      <c r="D228" s="23">
        <f>IF(Κανονικοποίηση!M$2=0, IF(Κανονικοποίηση!$K4=0, 1, 1/9), IF(Κανονικοποίηση!$K4=0, 9, MIN(MAX(Κανονικοποίηση!$K4/Κανονικοποίηση!M$2, 1/9), 9)))</f>
        <v>0.1111111111111111</v>
      </c>
      <c r="E228" s="23">
        <f>IF(Κανονικοποίηση!N$2=0, IF(Κανονικοποίηση!$K4=0, 1, 1/9), IF(Κανονικοποίηση!$K4=0, 9, MIN(MAX(Κανονικοποίηση!$K4/Κανονικοποίηση!N$2, 1/9), 9)))</f>
        <v>0.1111111111111111</v>
      </c>
      <c r="F228" s="23">
        <f>IF(Κανονικοποίηση!O$2=0, IF(Κανονικοποίηση!$K4=0, 1, 1/9), IF(Κανονικοποίηση!$K4=0, 9, MIN(MAX(Κανονικοποίηση!$K4/Κανονικοποίηση!O$2, 1/9), 9)))</f>
        <v>0.1111111111111111</v>
      </c>
      <c r="G228" s="23">
        <f>IF(Κανονικοποίηση!P$2=0, IF(Κανονικοποίηση!$K4=0, 1, 1/9), IF(Κανονικοποίηση!$K4=0, 9, MIN(MAX(Κανονικοποίηση!$K4/Κανονικοποίηση!P$2, 1/9), 9)))</f>
        <v>0.1111111111111111</v>
      </c>
      <c r="H228" s="23">
        <f>IF(Κανονικοποίηση!Q$2=0, IF(Κανονικοποίηση!$K4=0, 1, 1/9), IF(Κανονικοποίηση!$K4=0, 9, MIN(MAX(Κανονικοποίηση!$K4/Κανονικοποίηση!Q$2, 1/9), 9)))</f>
        <v>0.1111111111111111</v>
      </c>
      <c r="I228" s="74"/>
    </row>
    <row r="229" spans="1:9">
      <c r="A229" s="47" t="s">
        <v>14</v>
      </c>
      <c r="B229" s="23">
        <f>IF(Κανονικοποίηση!K$2=0, IF(Κανονικοποίηση!$K5=0, 1, 1/9), IF(Κανονικοποίηση!$K5=0, 9, MIN(MAX(Κανονικοποίηση!$K5/Κανονικοποίηση!K$2, 1/9), 9)))</f>
        <v>2.2000000000000002</v>
      </c>
      <c r="C229" s="23">
        <f>IF(Κανονικοποίηση!L$2=0, IF(Κανονικοποίηση!$K5=0, 1, 1/9), IF(Κανονικοποίηση!$K5=0, 9, MIN(MAX(Κανονικοποίηση!$K5/Κανονικοποίηση!L$2, 1/9), 9)))</f>
        <v>0.1111111111111111</v>
      </c>
      <c r="D229" s="23">
        <f>IF(Κανονικοποίηση!M$2=0, IF(Κανονικοποίηση!$K5=0, 1, 1/9), IF(Κανονικοποίηση!$K5=0, 9, MIN(MAX(Κανονικοποίηση!$K5/Κανονικοποίηση!M$2, 1/9), 9)))</f>
        <v>0.1111111111111111</v>
      </c>
      <c r="E229" s="23">
        <f>IF(Κανονικοποίηση!N$2=0, IF(Κανονικοποίηση!$K5=0, 1, 1/9), IF(Κανονικοποίηση!$K5=0, 9, MIN(MAX(Κανονικοποίηση!$K5/Κανονικοποίηση!N$2, 1/9), 9)))</f>
        <v>0.1111111111111111</v>
      </c>
      <c r="F229" s="23">
        <f>IF(Κανονικοποίηση!O$2=0, IF(Κανονικοποίηση!$K5=0, 1, 1/9), IF(Κανονικοποίηση!$K5=0, 9, MIN(MAX(Κανονικοποίηση!$K5/Κανονικοποίηση!O$2, 1/9), 9)))</f>
        <v>0.1111111111111111</v>
      </c>
      <c r="G229" s="23">
        <f>IF(Κανονικοποίηση!P$2=0, IF(Κανονικοποίηση!$K5=0, 1, 1/9), IF(Κανονικοποίηση!$K5=0, 9, MIN(MAX(Κανονικοποίηση!$K5/Κανονικοποίηση!P$2, 1/9), 9)))</f>
        <v>0.1111111111111111</v>
      </c>
      <c r="H229" s="23">
        <f>IF(Κανονικοποίηση!Q$2=0, IF(Κανονικοποίηση!$K5=0, 1, 1/9), IF(Κανονικοποίηση!$K5=0, 9, MIN(MAX(Κανονικοποίηση!$K5/Κανονικοποίηση!Q$2, 1/9), 9)))</f>
        <v>0.1111111111111111</v>
      </c>
      <c r="I229" s="74"/>
    </row>
    <row r="230" spans="1:9">
      <c r="A230" s="47" t="s">
        <v>15</v>
      </c>
      <c r="B230" s="23">
        <f>IF(Κανονικοποίηση!K$2=0, IF(Κανονικοποίηση!$K6=0, 1, 1/9), IF(Κανονικοποίηση!$K6=0, 9, MIN(MAX(Κανονικοποίηση!$K6/Κανονικοποίηση!K$2, 1/9), 9)))</f>
        <v>0.6</v>
      </c>
      <c r="C230" s="23">
        <f>IF(Κανονικοποίηση!L$2=0, IF(Κανονικοποίηση!$K6=0, 1, 1/9), IF(Κανονικοποίηση!$K6=0, 9, MIN(MAX(Κανονικοποίηση!$K6/Κανονικοποίηση!L$2, 1/9), 9)))</f>
        <v>0.1111111111111111</v>
      </c>
      <c r="D230" s="23">
        <f>IF(Κανονικοποίηση!M$2=0, IF(Κανονικοποίηση!$K6=0, 1, 1/9), IF(Κανονικοποίηση!$K6=0, 9, MIN(MAX(Κανονικοποίηση!$K6/Κανονικοποίηση!M$2, 1/9), 9)))</f>
        <v>0.1111111111111111</v>
      </c>
      <c r="E230" s="23">
        <f>IF(Κανονικοποίηση!N$2=0, IF(Κανονικοποίηση!$K6=0, 1, 1/9), IF(Κανονικοποίηση!$K6=0, 9, MIN(MAX(Κανονικοποίηση!$K6/Κανονικοποίηση!N$2, 1/9), 9)))</f>
        <v>0.1111111111111111</v>
      </c>
      <c r="F230" s="23">
        <f>IF(Κανονικοποίηση!O$2=0, IF(Κανονικοποίηση!$K6=0, 1, 1/9), IF(Κανονικοποίηση!$K6=0, 9, MIN(MAX(Κανονικοποίηση!$K6/Κανονικοποίηση!O$2, 1/9), 9)))</f>
        <v>0.1111111111111111</v>
      </c>
      <c r="G230" s="23">
        <f>IF(Κανονικοποίηση!P$2=0, IF(Κανονικοποίηση!$K6=0, 1, 1/9), IF(Κανονικοποίηση!$K6=0, 9, MIN(MAX(Κανονικοποίηση!$K6/Κανονικοποίηση!P$2, 1/9), 9)))</f>
        <v>0.1111111111111111</v>
      </c>
      <c r="H230" s="23">
        <f>IF(Κανονικοποίηση!Q$2=0, IF(Κανονικοποίηση!$K6=0, 1, 1/9), IF(Κανονικοποίηση!$K6=0, 9, MIN(MAX(Κανονικοποίηση!$K6/Κανονικοποίηση!Q$2, 1/9), 9)))</f>
        <v>0.1111111111111111</v>
      </c>
      <c r="I230" s="74"/>
    </row>
    <row r="231" spans="1:9">
      <c r="A231" s="47" t="s">
        <v>16</v>
      </c>
      <c r="B231" s="23">
        <f>IF(Κανονικοποίηση!K$2=0, IF(Κανονικοποίηση!$K7=0, 1, 1/9), IF(Κανονικοποίηση!$K7=0, 9, MIN(MAX(Κανονικοποίηση!$K7/Κανονικοποίηση!K$2, 1/9), 9)))</f>
        <v>1.2</v>
      </c>
      <c r="C231" s="23">
        <f>IF(Κανονικοποίηση!L$2=0, IF(Κανονικοποίηση!$K7=0, 1, 1/9), IF(Κανονικοποίηση!$K7=0, 9, MIN(MAX(Κανονικοποίηση!$K7/Κανονικοποίηση!L$2, 1/9), 9)))</f>
        <v>0.1111111111111111</v>
      </c>
      <c r="D231" s="23">
        <f>IF(Κανονικοποίηση!M$2=0, IF(Κανονικοποίηση!$K7=0, 1, 1/9), IF(Κανονικοποίηση!$K7=0, 9, MIN(MAX(Κανονικοποίηση!$K7/Κανονικοποίηση!M$2, 1/9), 9)))</f>
        <v>0.1111111111111111</v>
      </c>
      <c r="E231" s="23">
        <f>IF(Κανονικοποίηση!N$2=0, IF(Κανονικοποίηση!$K7=0, 1, 1/9), IF(Κανονικοποίηση!$K7=0, 9, MIN(MAX(Κανονικοποίηση!$K7/Κανονικοποίηση!N$2, 1/9), 9)))</f>
        <v>0.1111111111111111</v>
      </c>
      <c r="F231" s="23">
        <f>IF(Κανονικοποίηση!O$2=0, IF(Κανονικοποίηση!$K7=0, 1, 1/9), IF(Κανονικοποίηση!$K7=0, 9, MIN(MAX(Κανονικοποίηση!$K7/Κανονικοποίηση!O$2, 1/9), 9)))</f>
        <v>0.1111111111111111</v>
      </c>
      <c r="G231" s="23">
        <f>IF(Κανονικοποίηση!P$2=0, IF(Κανονικοποίηση!$K7=0, 1, 1/9), IF(Κανονικοποίηση!$K7=0, 9, MIN(MAX(Κανονικοποίηση!$K7/Κανονικοποίηση!P$2, 1/9), 9)))</f>
        <v>0.1111111111111111</v>
      </c>
      <c r="H231" s="23">
        <f>IF(Κανονικοποίηση!Q$2=0, IF(Κανονικοποίηση!$K7=0, 1, 1/9), IF(Κανονικοποίηση!$K7=0, 9, MIN(MAX(Κανονικοποίηση!$K7/Κανονικοποίηση!Q$2, 1/9), 9)))</f>
        <v>0.1111111111111111</v>
      </c>
      <c r="I231" s="74"/>
    </row>
    <row r="232" spans="1:9">
      <c r="A232" s="47" t="s">
        <v>17</v>
      </c>
      <c r="B232" s="23">
        <f>IF(Κανονικοποίηση!K$2=0, IF(Κανονικοποίηση!$K8=0, 1, 1/9), IF(Κανονικοποίηση!$K8=0, 9, MIN(MAX(Κανονικοποίηση!$K8/Κανονικοποίηση!K$2, 1/9), 9)))</f>
        <v>9</v>
      </c>
      <c r="C232" s="23">
        <f>IF(Κανονικοποίηση!L$2=0, IF(Κανονικοποίηση!$K8=0, 1, 1/9), IF(Κανονικοποίηση!$K8=0, 9, MIN(MAX(Κανονικοποίηση!$K8/Κανονικοποίηση!L$2, 1/9), 9)))</f>
        <v>1</v>
      </c>
      <c r="D232" s="23">
        <f>IF(Κανονικοποίηση!M$2=0, IF(Κανονικοποίηση!$K8=0, 1, 1/9), IF(Κανονικοποίηση!$K8=0, 9, MIN(MAX(Κανονικοποίηση!$K8/Κανονικοποίηση!M$2, 1/9), 9)))</f>
        <v>1</v>
      </c>
      <c r="E232" s="23">
        <f>IF(Κανονικοποίηση!N$2=0, IF(Κανονικοποίηση!$K8=0, 1, 1/9), IF(Κανονικοποίηση!$K8=0, 9, MIN(MAX(Κανονικοποίηση!$K8/Κανονικοποίηση!N$2, 1/9), 9)))</f>
        <v>1</v>
      </c>
      <c r="F232" s="23">
        <f>IF(Κανονικοποίηση!O$2=0, IF(Κανονικοποίηση!$K8=0, 1, 1/9), IF(Κανονικοποίηση!$K8=0, 9, MIN(MAX(Κανονικοποίηση!$K8/Κανονικοποίηση!O$2, 1/9), 9)))</f>
        <v>1</v>
      </c>
      <c r="G232" s="23">
        <f>IF(Κανονικοποίηση!P$2=0, IF(Κανονικοποίηση!$K8=0, 1, 1/9), IF(Κανονικοποίηση!$K8=0, 9, MIN(MAX(Κανονικοποίηση!$K8/Κανονικοποίηση!P$2, 1/9), 9)))</f>
        <v>1</v>
      </c>
      <c r="H232" s="23">
        <f>IF(Κανονικοποίηση!Q$2=0, IF(Κανονικοποίηση!$K8=0, 1, 1/9), IF(Κανονικοποίηση!$K8=0, 9, MIN(MAX(Κανονικοποίηση!$K8/Κανονικοποίηση!Q$2, 1/9), 9)))</f>
        <v>1</v>
      </c>
      <c r="I232" s="74"/>
    </row>
    <row r="233" spans="1:9">
      <c r="A233" s="47" t="s">
        <v>75</v>
      </c>
      <c r="B233" s="14">
        <f>SUM(B226:B232)</f>
        <v>17.2</v>
      </c>
      <c r="C233" s="14">
        <f t="shared" ref="C233:H233" si="80">SUM(C226:C232)</f>
        <v>1.6666666666666667</v>
      </c>
      <c r="D233" s="14">
        <f t="shared" si="80"/>
        <v>1.6666666666666667</v>
      </c>
      <c r="E233" s="14">
        <f t="shared" si="80"/>
        <v>1.6666666666666667</v>
      </c>
      <c r="F233" s="14">
        <f t="shared" si="80"/>
        <v>1.6666666666666667</v>
      </c>
      <c r="G233" s="14">
        <f t="shared" si="80"/>
        <v>1.6666666666666667</v>
      </c>
      <c r="H233" s="14">
        <f t="shared" si="80"/>
        <v>1.6666666666666667</v>
      </c>
      <c r="I233" s="75"/>
    </row>
    <row r="234" spans="1:9">
      <c r="A234" s="28"/>
      <c r="B234" s="29"/>
      <c r="C234" s="29"/>
      <c r="D234" s="29"/>
      <c r="E234" s="29"/>
      <c r="F234" s="29"/>
      <c r="G234" s="29"/>
      <c r="H234" s="29"/>
      <c r="I234" s="30"/>
    </row>
    <row r="235" spans="1:9">
      <c r="A235" s="77" t="s">
        <v>76</v>
      </c>
      <c r="B235" s="77"/>
      <c r="C235" s="77"/>
      <c r="D235" s="77"/>
      <c r="E235" s="77"/>
      <c r="F235" s="77"/>
      <c r="G235" s="77"/>
      <c r="H235" s="77"/>
      <c r="I235" s="77"/>
    </row>
    <row r="236" spans="1:9">
      <c r="A236" s="57" t="s">
        <v>23</v>
      </c>
      <c r="B236" s="56" t="s">
        <v>80</v>
      </c>
      <c r="C236" s="56" t="s">
        <v>81</v>
      </c>
      <c r="D236" s="56" t="s">
        <v>13</v>
      </c>
      <c r="E236" s="56" t="s">
        <v>14</v>
      </c>
      <c r="F236" s="56" t="s">
        <v>82</v>
      </c>
      <c r="G236" s="56" t="s">
        <v>83</v>
      </c>
      <c r="H236" s="56" t="s">
        <v>84</v>
      </c>
      <c r="I236" s="56" t="s">
        <v>77</v>
      </c>
    </row>
    <row r="237" spans="1:9">
      <c r="A237" s="47" t="s">
        <v>11</v>
      </c>
      <c r="B237" s="23">
        <f>(B226/B$233)</f>
        <v>5.8139534883720929E-2</v>
      </c>
      <c r="C237" s="23">
        <f t="shared" ref="C237:H237" si="81">(C226/C$233)</f>
        <v>6.6666666666666666E-2</v>
      </c>
      <c r="D237" s="23">
        <f t="shared" si="81"/>
        <v>6.6666666666666666E-2</v>
      </c>
      <c r="E237" s="23">
        <f t="shared" si="81"/>
        <v>6.6666666666666666E-2</v>
      </c>
      <c r="F237" s="23">
        <f t="shared" si="81"/>
        <v>6.6666666666666666E-2</v>
      </c>
      <c r="G237" s="23">
        <f t="shared" si="81"/>
        <v>6.6666666666666666E-2</v>
      </c>
      <c r="H237" s="23">
        <f t="shared" si="81"/>
        <v>6.6666666666666666E-2</v>
      </c>
      <c r="I237" s="14">
        <f>AVERAGE(B237:H237)</f>
        <v>6.5448504983388694E-2</v>
      </c>
    </row>
    <row r="238" spans="1:9">
      <c r="A238" s="47" t="s">
        <v>94</v>
      </c>
      <c r="B238" s="23">
        <f t="shared" ref="B238:H238" si="82">(B227/B$233)</f>
        <v>0.10465116279069769</v>
      </c>
      <c r="C238" s="23">
        <f t="shared" si="82"/>
        <v>6.6666666666666666E-2</v>
      </c>
      <c r="D238" s="23">
        <f t="shared" si="82"/>
        <v>6.6666666666666666E-2</v>
      </c>
      <c r="E238" s="23">
        <f t="shared" si="82"/>
        <v>6.6666666666666666E-2</v>
      </c>
      <c r="F238" s="23">
        <f t="shared" si="82"/>
        <v>6.6666666666666666E-2</v>
      </c>
      <c r="G238" s="23">
        <f t="shared" si="82"/>
        <v>6.6666666666666666E-2</v>
      </c>
      <c r="H238" s="23">
        <f t="shared" si="82"/>
        <v>6.6666666666666666E-2</v>
      </c>
      <c r="I238" s="14">
        <f t="shared" ref="I238:I243" si="83">AVERAGE(B238:H238)</f>
        <v>7.2093023255813946E-2</v>
      </c>
    </row>
    <row r="239" spans="1:9">
      <c r="A239" s="47" t="s">
        <v>13</v>
      </c>
      <c r="B239" s="23">
        <f t="shared" ref="B239:H239" si="84">(B228/B$233)</f>
        <v>8.1395348837209308E-2</v>
      </c>
      <c r="C239" s="23">
        <f t="shared" si="84"/>
        <v>6.6666666666666666E-2</v>
      </c>
      <c r="D239" s="23">
        <f t="shared" si="84"/>
        <v>6.6666666666666666E-2</v>
      </c>
      <c r="E239" s="23">
        <f t="shared" si="84"/>
        <v>6.6666666666666666E-2</v>
      </c>
      <c r="F239" s="23">
        <f t="shared" si="84"/>
        <v>6.6666666666666666E-2</v>
      </c>
      <c r="G239" s="23">
        <f t="shared" si="84"/>
        <v>6.6666666666666666E-2</v>
      </c>
      <c r="H239" s="23">
        <f t="shared" si="84"/>
        <v>6.6666666666666666E-2</v>
      </c>
      <c r="I239" s="14">
        <f t="shared" si="83"/>
        <v>6.8770764119601327E-2</v>
      </c>
    </row>
    <row r="240" spans="1:9">
      <c r="A240" s="47" t="s">
        <v>14</v>
      </c>
      <c r="B240" s="23">
        <f t="shared" ref="B240:H240" si="85">(B229/B$233)</f>
        <v>0.12790697674418605</v>
      </c>
      <c r="C240" s="23">
        <f t="shared" si="85"/>
        <v>6.6666666666666666E-2</v>
      </c>
      <c r="D240" s="23">
        <f t="shared" si="85"/>
        <v>6.6666666666666666E-2</v>
      </c>
      <c r="E240" s="23">
        <f t="shared" si="85"/>
        <v>6.6666666666666666E-2</v>
      </c>
      <c r="F240" s="23">
        <f t="shared" si="85"/>
        <v>6.6666666666666666E-2</v>
      </c>
      <c r="G240" s="23">
        <f t="shared" si="85"/>
        <v>6.6666666666666666E-2</v>
      </c>
      <c r="H240" s="23">
        <f t="shared" si="85"/>
        <v>6.6666666666666666E-2</v>
      </c>
      <c r="I240" s="14">
        <f t="shared" si="83"/>
        <v>7.5415282392026564E-2</v>
      </c>
    </row>
    <row r="241" spans="1:9">
      <c r="A241" s="47" t="s">
        <v>15</v>
      </c>
      <c r="B241" s="23">
        <f t="shared" ref="B241:H241" si="86">(B230/B$233)</f>
        <v>3.4883720930232558E-2</v>
      </c>
      <c r="C241" s="23">
        <f t="shared" si="86"/>
        <v>6.6666666666666666E-2</v>
      </c>
      <c r="D241" s="23">
        <f t="shared" si="86"/>
        <v>6.6666666666666666E-2</v>
      </c>
      <c r="E241" s="23">
        <f t="shared" si="86"/>
        <v>6.6666666666666666E-2</v>
      </c>
      <c r="F241" s="23">
        <f t="shared" si="86"/>
        <v>6.6666666666666666E-2</v>
      </c>
      <c r="G241" s="23">
        <f t="shared" si="86"/>
        <v>6.6666666666666666E-2</v>
      </c>
      <c r="H241" s="23">
        <f t="shared" si="86"/>
        <v>6.6666666666666666E-2</v>
      </c>
      <c r="I241" s="14">
        <f t="shared" si="83"/>
        <v>6.2126245847176069E-2</v>
      </c>
    </row>
    <row r="242" spans="1:9">
      <c r="A242" s="47" t="s">
        <v>16</v>
      </c>
      <c r="B242" s="23">
        <f t="shared" ref="B242:H242" si="87">(B231/B$233)</f>
        <v>6.9767441860465115E-2</v>
      </c>
      <c r="C242" s="23">
        <f t="shared" si="87"/>
        <v>6.6666666666666666E-2</v>
      </c>
      <c r="D242" s="23">
        <f t="shared" si="87"/>
        <v>6.6666666666666666E-2</v>
      </c>
      <c r="E242" s="23">
        <f t="shared" si="87"/>
        <v>6.6666666666666666E-2</v>
      </c>
      <c r="F242" s="23">
        <f t="shared" si="87"/>
        <v>6.6666666666666666E-2</v>
      </c>
      <c r="G242" s="23">
        <f t="shared" si="87"/>
        <v>6.6666666666666666E-2</v>
      </c>
      <c r="H242" s="23">
        <f t="shared" si="87"/>
        <v>6.6666666666666666E-2</v>
      </c>
      <c r="I242" s="14">
        <f t="shared" si="83"/>
        <v>6.7109634551495004E-2</v>
      </c>
    </row>
    <row r="243" spans="1:9">
      <c r="A243" s="47" t="s">
        <v>17</v>
      </c>
      <c r="B243" s="23">
        <f t="shared" ref="B243:H243" si="88">(B232/B$233)</f>
        <v>0.52325581395348841</v>
      </c>
      <c r="C243" s="23">
        <f t="shared" si="88"/>
        <v>0.6</v>
      </c>
      <c r="D243" s="23">
        <f t="shared" si="88"/>
        <v>0.6</v>
      </c>
      <c r="E243" s="23">
        <f t="shared" si="88"/>
        <v>0.6</v>
      </c>
      <c r="F243" s="23">
        <f t="shared" si="88"/>
        <v>0.6</v>
      </c>
      <c r="G243" s="23">
        <f t="shared" si="88"/>
        <v>0.6</v>
      </c>
      <c r="H243" s="23">
        <f t="shared" si="88"/>
        <v>0.6</v>
      </c>
      <c r="I243" s="14">
        <f>AVERAGE(B243:H243)</f>
        <v>0.58903654485049839</v>
      </c>
    </row>
    <row r="245" spans="1:9">
      <c r="A245" s="81" t="s">
        <v>57</v>
      </c>
      <c r="B245" s="82"/>
    </row>
    <row r="246" spans="1:9">
      <c r="A246" s="57" t="s">
        <v>23</v>
      </c>
      <c r="B246" s="14"/>
    </row>
    <row r="247" spans="1:9">
      <c r="A247" s="47" t="s">
        <v>11</v>
      </c>
      <c r="B247" s="31">
        <f>I46*Βάρη!E$2 + I68*Βάρη!E$3 + I90*Βάρη!E$4 + I111*Βάρη!E$5 + I132*Βάρη!E$6 + I153*Βάρη!E$7 + I174*Βάρη!E$8 + I195*Βάρη!E$9 + I216*Βάρη!E$10 + I237*Βάρη!E$11</f>
        <v>7.964144309682733E-2</v>
      </c>
    </row>
    <row r="248" spans="1:9">
      <c r="A248" s="47" t="s">
        <v>12</v>
      </c>
      <c r="B248" s="31">
        <f>I47*Βάρη!E$2 + I69*Βάρη!E$3 + I91*Βάρη!E$4 + I112*Βάρη!E$5 + I133*Βάρη!E$6 + I154*Βάρη!E$7 + I175*Βάρη!E$8 + I196*Βάρη!E$9 + I217*Βάρη!E$10 + I238*Βάρη!E$11</f>
        <v>6.2319016475473228E-2</v>
      </c>
    </row>
    <row r="249" spans="1:9">
      <c r="A249" s="47" t="s">
        <v>13</v>
      </c>
      <c r="B249" s="31">
        <f>I48*Βάρη!E$2 + I70*Βάρη!E$3 + I92*Βάρη!E$4 + I113*Βάρη!E$5 + I134*Βάρη!E$6 + I155*Βάρη!E$7 + I176*Βάρη!E$8 + I197*Βάρη!E$9 + I218*Βάρη!E$10 + I239*Βάρη!E$11</f>
        <v>6.4346120472860091E-2</v>
      </c>
    </row>
    <row r="250" spans="1:9">
      <c r="A250" s="47" t="s">
        <v>14</v>
      </c>
      <c r="B250" s="31">
        <f>I49*Βάρη!E$2 + I71*Βάρη!E$3 + I93*Βάρη!E$4 + I114*Βάρη!E$5 + I135*Βάρη!E$6 + I156*Βάρη!E$7 + I177*Βάρη!E$8 + I198*Βάρη!E$9 + I219*Βάρη!E$10 + I240*Βάρη!E$11</f>
        <v>0.28521233364603393</v>
      </c>
    </row>
    <row r="251" spans="1:9">
      <c r="A251" s="47" t="s">
        <v>15</v>
      </c>
      <c r="B251" s="31">
        <f>I50*Βάρη!E$2 + I72*Βάρη!E$3 + I94*Βάρη!E$4 + I115*Βάρη!E$5 + I136*Βάρη!E$6 + I157*Βάρη!E$7 + I178*Βάρη!E$8 + I199*Βάρη!E$9 + I220*Βάρη!E$10 + I241*Βάρη!E$11</f>
        <v>0.31710708839996699</v>
      </c>
    </row>
    <row r="252" spans="1:9">
      <c r="A252" s="47" t="s">
        <v>16</v>
      </c>
      <c r="B252" s="31">
        <f>I51*Βάρη!E$2 + I73*Βάρη!E$3 + I95*Βάρη!E$4 + I116*Βάρη!E$5 + I137*Βάρη!E$6 + I158*Βάρη!E$7 + I179*Βάρη!E$8 + I200*Βάρη!E$9 + I221*Βάρη!E$10 + I242*Βάρη!E$11</f>
        <v>0.11421031638349231</v>
      </c>
    </row>
    <row r="253" spans="1:9">
      <c r="A253" s="47" t="s">
        <v>17</v>
      </c>
      <c r="B253" s="31">
        <f>I52*Βάρη!E$2 + I74*Βάρη!E$3 + I96*Βάρη!E$4 + I117*Βάρη!E$5 + I138*Βάρη!E$6 + I159*Βάρη!E$7 + I180*Βάρη!E$8 + I201*Βάρη!E$9 + I222*Βάρη!E$10 + I243*Βάρη!E$11</f>
        <v>7.7163681525346112E-2</v>
      </c>
    </row>
  </sheetData>
  <mergeCells count="33">
    <mergeCell ref="A235:I235"/>
    <mergeCell ref="A245:B245"/>
    <mergeCell ref="I225:I233"/>
    <mergeCell ref="A66:I66"/>
    <mergeCell ref="A88:I88"/>
    <mergeCell ref="A109:I109"/>
    <mergeCell ref="A130:I130"/>
    <mergeCell ref="A151:I151"/>
    <mergeCell ref="A172:I172"/>
    <mergeCell ref="A193:I193"/>
    <mergeCell ref="A214:I214"/>
    <mergeCell ref="A182:I182"/>
    <mergeCell ref="I183:I191"/>
    <mergeCell ref="A203:I203"/>
    <mergeCell ref="I204:I212"/>
    <mergeCell ref="A224:I224"/>
    <mergeCell ref="I120:I128"/>
    <mergeCell ref="A140:I140"/>
    <mergeCell ref="I141:I149"/>
    <mergeCell ref="A161:I161"/>
    <mergeCell ref="I162:I170"/>
    <mergeCell ref="A77:I77"/>
    <mergeCell ref="I78:I86"/>
    <mergeCell ref="A98:I98"/>
    <mergeCell ref="I99:I107"/>
    <mergeCell ref="A119:I119"/>
    <mergeCell ref="A55:I55"/>
    <mergeCell ref="I56:I64"/>
    <mergeCell ref="A15:L15"/>
    <mergeCell ref="A44:I44"/>
    <mergeCell ref="A43:I43"/>
    <mergeCell ref="A33:I33"/>
    <mergeCell ref="I34:I4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82B9-7066-4590-8633-24F8801A15B3}">
  <dimension ref="A1:Q102"/>
  <sheetViews>
    <sheetView topLeftCell="A59" workbookViewId="0">
      <selection activeCell="D92" sqref="D92"/>
    </sheetView>
  </sheetViews>
  <sheetFormatPr defaultRowHeight="15"/>
  <cols>
    <col min="1" max="1" width="15.7109375" bestFit="1" customWidth="1"/>
    <col min="2" max="2" width="13.85546875" bestFit="1" customWidth="1"/>
    <col min="3" max="3" width="12.140625" customWidth="1"/>
    <col min="4" max="4" width="19.7109375" bestFit="1" customWidth="1"/>
    <col min="5" max="5" width="12.42578125" bestFit="1" customWidth="1"/>
    <col min="6" max="6" width="12.85546875" bestFit="1" customWidth="1"/>
    <col min="7" max="7" width="13.85546875" bestFit="1" customWidth="1"/>
    <col min="8" max="8" width="16.7109375" bestFit="1" customWidth="1"/>
    <col min="9" max="9" width="16.85546875" bestFit="1" customWidth="1"/>
    <col min="10" max="10" width="19.7109375" bestFit="1" customWidth="1"/>
    <col min="11" max="11" width="11.7109375" bestFit="1" customWidth="1"/>
    <col min="12" max="12" width="8.28515625" bestFit="1" customWidth="1"/>
    <col min="13" max="13" width="15" customWidth="1"/>
    <col min="14" max="14" width="12.5703125" bestFit="1" customWidth="1"/>
    <col min="15" max="15" width="14.7109375" bestFit="1" customWidth="1"/>
    <col min="16" max="16" width="11.85546875" bestFit="1" customWidth="1"/>
    <col min="17" max="17" width="12.5703125" bestFit="1" customWidth="1"/>
  </cols>
  <sheetData>
    <row r="1" spans="1:17">
      <c r="A1" s="59" t="s">
        <v>95</v>
      </c>
      <c r="B1" s="46" t="s">
        <v>96</v>
      </c>
      <c r="C1" s="46" t="s">
        <v>97</v>
      </c>
      <c r="D1" s="46" t="s">
        <v>98</v>
      </c>
    </row>
    <row r="2" spans="1:17">
      <c r="A2" s="47" t="s">
        <v>35</v>
      </c>
      <c r="B2" s="32">
        <v>5</v>
      </c>
      <c r="C2" s="32">
        <v>0.1</v>
      </c>
      <c r="D2" s="32">
        <v>0.3</v>
      </c>
    </row>
    <row r="3" spans="1:17">
      <c r="A3" s="47" t="s">
        <v>36</v>
      </c>
      <c r="B3" s="32">
        <v>1</v>
      </c>
      <c r="C3" s="33" t="s">
        <v>99</v>
      </c>
      <c r="D3" s="33" t="s">
        <v>99</v>
      </c>
    </row>
    <row r="4" spans="1:17">
      <c r="A4" s="47" t="s">
        <v>37</v>
      </c>
      <c r="B4" s="32">
        <v>1</v>
      </c>
      <c r="C4" s="33" t="s">
        <v>99</v>
      </c>
      <c r="D4" s="33" t="s">
        <v>99</v>
      </c>
    </row>
    <row r="5" spans="1:17">
      <c r="A5" s="47" t="s">
        <v>38</v>
      </c>
      <c r="B5" s="32">
        <v>2</v>
      </c>
      <c r="C5" s="32">
        <v>0.2</v>
      </c>
      <c r="D5" s="33" t="s">
        <v>99</v>
      </c>
    </row>
    <row r="6" spans="1:17">
      <c r="A6" s="47" t="s">
        <v>39</v>
      </c>
      <c r="B6" s="32">
        <v>1</v>
      </c>
      <c r="C6" s="33" t="s">
        <v>99</v>
      </c>
      <c r="D6" s="33" t="s">
        <v>99</v>
      </c>
    </row>
    <row r="7" spans="1:17">
      <c r="A7" s="47" t="s">
        <v>100</v>
      </c>
      <c r="B7" s="32">
        <v>3</v>
      </c>
      <c r="C7" s="33" t="s">
        <v>99</v>
      </c>
      <c r="D7" s="32">
        <v>0.3</v>
      </c>
    </row>
    <row r="8" spans="1:17">
      <c r="A8" s="47" t="s">
        <v>101</v>
      </c>
      <c r="B8" s="32">
        <v>1</v>
      </c>
      <c r="C8" s="33" t="s">
        <v>99</v>
      </c>
      <c r="D8" s="33" t="s">
        <v>99</v>
      </c>
    </row>
    <row r="9" spans="1:17">
      <c r="A9" s="47" t="s">
        <v>42</v>
      </c>
      <c r="B9" s="32">
        <v>1</v>
      </c>
      <c r="C9" s="33" t="s">
        <v>99</v>
      </c>
      <c r="D9" s="33" t="s">
        <v>99</v>
      </c>
    </row>
    <row r="10" spans="1:17">
      <c r="A10" s="47" t="s">
        <v>43</v>
      </c>
      <c r="B10" s="32">
        <v>1</v>
      </c>
      <c r="C10" s="33" t="s">
        <v>99</v>
      </c>
      <c r="D10" s="33" t="s">
        <v>99</v>
      </c>
    </row>
    <row r="11" spans="1:17">
      <c r="A11" s="47" t="s">
        <v>44</v>
      </c>
      <c r="B11" s="32">
        <v>1</v>
      </c>
      <c r="C11" s="33" t="s">
        <v>99</v>
      </c>
      <c r="D11" s="33" t="s">
        <v>99</v>
      </c>
    </row>
    <row r="15" spans="1:17">
      <c r="A15" s="60" t="s">
        <v>102</v>
      </c>
      <c r="B15" s="60" t="s">
        <v>103</v>
      </c>
      <c r="C15" s="46" t="s">
        <v>1</v>
      </c>
      <c r="D15" s="46" t="s">
        <v>2</v>
      </c>
      <c r="E15" s="46" t="s">
        <v>3</v>
      </c>
      <c r="F15" s="46" t="s">
        <v>4</v>
      </c>
      <c r="G15" s="46" t="s">
        <v>5</v>
      </c>
      <c r="H15" s="46" t="s">
        <v>6</v>
      </c>
      <c r="I15" s="46" t="s">
        <v>7</v>
      </c>
      <c r="J15" s="46" t="s">
        <v>8</v>
      </c>
      <c r="K15" s="46" t="s">
        <v>9</v>
      </c>
      <c r="L15" s="46" t="s">
        <v>10</v>
      </c>
      <c r="M15" s="61" t="s">
        <v>104</v>
      </c>
      <c r="N15" s="58" t="s">
        <v>105</v>
      </c>
      <c r="O15" s="58" t="s">
        <v>106</v>
      </c>
      <c r="P15" s="58" t="s">
        <v>107</v>
      </c>
      <c r="Q15" s="62" t="s">
        <v>108</v>
      </c>
    </row>
    <row r="16" spans="1:17">
      <c r="A16" s="47" t="s">
        <v>11</v>
      </c>
      <c r="B16" s="47" t="s">
        <v>12</v>
      </c>
      <c r="C16" s="35">
        <f>IF(VLOOKUP($A16, Κανονικοποίηση!$A$2:$K$8, 2, 0) - VLOOKUP($B16, Κανονικοποίηση!$A$2:$K$8, 2, 0) &lt;= $C$2, 0, IF(VLOOKUP($A16, Κανονικοποίηση!$A$2:$K$8, 2, 0) - VLOOKUP($B16, Κανονικοποίηση!$A$2:$K$8, 2, 0) &gt;= $D$2, 1, (VLOOKUP($A16, Κανονικοποίηση!$A$2:$K$8, 2, 0) - VLOOKUP($B16, Κανονικοποίηση!$A$2:$K$8, 2, 0) - $C$2) / ($D$2 - $C$2)))</f>
        <v>0</v>
      </c>
      <c r="D16" s="35">
        <f>IF(VLOOKUP($A16, Κανονικοποίηση!$A$2:$K$8, 3, 0) - VLOOKUP($B16, Κανονικοποίηση!$A$2:$K$8, 3, 0) &gt; 0, 1, 0)</f>
        <v>1</v>
      </c>
      <c r="E16" s="35">
        <f>IF(VLOOKUP($A16, Κανονικοποίηση!$A$2:$K$8, 4, 0) - VLOOKUP($B16, Κανονικοποίηση!$A$2:$K$8, 4, 0) &gt; 0, 1, 0)</f>
        <v>1</v>
      </c>
      <c r="F16" s="35">
        <f>IF(VLOOKUP($A16, Κανονικοποίηση!$A$2:$K$8, 5, 0) - VLOOKUP($B16, Κανονικοποίηση!$A$2:$K$8, 5, 0) &gt; $C$5, 1, 0)</f>
        <v>1</v>
      </c>
      <c r="G16" s="35">
        <f>IF(VLOOKUP($A16, Κανονικοποίηση!$A$2:$K$8, 6, 0) - VLOOKUP($B16, Κανονικοποίηση!$A$2:$K$8, 6, 0) &gt; 0, 1, 0)</f>
        <v>0</v>
      </c>
      <c r="H16" s="35">
        <f>IF(VLOOKUP($A16, Κανονικοποίηση!$A$2:$K$8, 7, 0) - VLOOKUP($B16, Κανονικοποίηση!$A$2:$K$8, 7, 0) &lt;= 0, 0, IF(VLOOKUP($A16, Κανονικοποίηση!$A$2:$K$8, 7, 0) - VLOOKUP($B16, Κανονικοποίηση!$A$2:$K$8, 7, 0) &gt;= $D$7, 1, (VLOOKUP($A16, Κανονικοποίηση!$A$2:$K$8, 7, 0) - VLOOKUP($B16, Κανονικοποίηση!$A$2:$K$8, 7, 0)) / $D$7))</f>
        <v>1</v>
      </c>
      <c r="I16" s="35">
        <f>IF(VLOOKUP($A16, Κανονικοποίηση!$A$2:$K$8, 8, 0) - VLOOKUP($B16, Κανονικοποίηση!$A$2:$K$8, 8, 0) &gt; 0, 1, 0)</f>
        <v>0</v>
      </c>
      <c r="J16" s="35">
        <f>IF(VLOOKUP($A16, Κανονικοποίηση!$A$2:$K$8, 9, 0) - VLOOKUP($B16, Κανονικοποίηση!$A$2:$K$8, 9, 0) &gt; 0, 1, 0)</f>
        <v>0</v>
      </c>
      <c r="K16" s="35">
        <f>IF(VLOOKUP($A16, Κανονικοποίηση!$A$2:$K$8, 10, 0) - VLOOKUP($B16, Κανονικοποίηση!$A$2:$K$8, 10, 0) &gt; 0, 1, 0)</f>
        <v>1</v>
      </c>
      <c r="L16" s="36">
        <f>IF(VLOOKUP($A16, Κανονικοποίηση!$A$2:$K$8, 11, 0) - VLOOKUP($B16, Κανονικοποίηση!$A$2:$K$8, 11, 0) &gt; 0, 1, 0)</f>
        <v>0</v>
      </c>
      <c r="M16" s="41" cm="1">
        <f t="array" ref="M16">SUMPRODUCT(C16:L16, TRANSPOSE(Βάρη!$E$2:$E$11))</f>
        <v>0.50319999999999998</v>
      </c>
      <c r="N16" s="25" cm="1">
        <f t="array" ref="N16">SUMPRODUCT(C16:L16, TRANSPOSE(Βάρη!$C$2:$C$11))</f>
        <v>0.54545454545454541</v>
      </c>
      <c r="O16" s="25" cm="1">
        <f t="array" ref="O16">SUMPRODUCT(C16:L16, TRANSPOSE(Βάρη!$F$2:$F$11))</f>
        <v>0.5636363636363636</v>
      </c>
      <c r="P16" s="41" cm="1">
        <f t="array" ref="P16">SUMPRODUCT(C16:L16, TRANSPOSE(Σύνοψη!$J$3:$J$12))</f>
        <v>2.3033411839803448</v>
      </c>
      <c r="Q16" s="25" cm="1">
        <f t="array" ref="Q16">SUMPRODUCT(C16:L16, TRANSPOSE(Βάρη!$D$2:$D$11))</f>
        <v>0.45657769949871296</v>
      </c>
    </row>
    <row r="17" spans="1:17">
      <c r="A17" s="47" t="s">
        <v>11</v>
      </c>
      <c r="B17" s="47" t="s">
        <v>13</v>
      </c>
      <c r="C17" s="35">
        <f>IF(VLOOKUP($A17, Κανονικοποίηση!$A$2:$K$8, 2, 0) - VLOOKUP($B17, Κανονικοποίηση!$A$2:$K$8, 2, 0) &lt;= $C$2, 0, IF(VLOOKUP($A17, Κανονικοποίηση!$A$2:$K$8, 2, 0) - VLOOKUP($B17, Κανονικοποίηση!$A$2:$K$8, 2, 0) &gt;= $D$2, 1, (VLOOKUP($A17, Κανονικοποίηση!$A$2:$K$8, 2, 0) - VLOOKUP($B17, Κανονικοποίηση!$A$2:$K$8, 2, 0) - $C$2) / ($D$2 - $C$2)))</f>
        <v>0</v>
      </c>
      <c r="D17" s="35">
        <f>IF(VLOOKUP($A17, Κανονικοποίηση!$A$2:$K$8, 3, 0) - VLOOKUP($B17, Κανονικοποίηση!$A$2:$K$8, 3, 0) &gt; 0, 1, 0)</f>
        <v>1</v>
      </c>
      <c r="E17" s="35">
        <f>IF(VLOOKUP($A17, Κανονικοποίηση!$A$2:$K$8, 4, 0) - VLOOKUP($B17, Κανονικοποίηση!$A$2:$K$8, 4, 0) &gt; 0, 1, 0)</f>
        <v>0</v>
      </c>
      <c r="F17" s="35">
        <f>IF(VLOOKUP($A17, Κανονικοποίηση!$A$2:$K$8, 5, 0) - VLOOKUP($B17, Κανονικοποίηση!$A$2:$K$8, 5, 0) &gt; $C$5, 1, 0)</f>
        <v>1</v>
      </c>
      <c r="G17" s="35">
        <f>IF(VLOOKUP($A17, Κανονικοποίηση!$A$2:$K$8, 6, 0) - VLOOKUP($B17, Κανονικοποίηση!$A$2:$K$8, 6, 0) &gt; 0, 1, 0)</f>
        <v>0</v>
      </c>
      <c r="H17" s="35">
        <f>IF(VLOOKUP($A17, Κανονικοποίηση!$A$2:$K$8, 7, 0) - VLOOKUP($B17, Κανονικοποίηση!$A$2:$K$8, 7, 0) &lt;= 0, 0, IF(VLOOKUP($A17, Κανονικοποίηση!$A$2:$K$8, 7, 0) - VLOOKUP($B17, Κανονικοποίηση!$A$2:$K$8, 7, 0) &gt;= $D$7, 1, (VLOOKUP($A17, Κανονικοποίηση!$A$2:$K$8, 7, 0) - VLOOKUP($B17, Κανονικοποίηση!$A$2:$K$8, 7, 0)) / $D$7))</f>
        <v>0</v>
      </c>
      <c r="I17" s="35">
        <f>IF(VLOOKUP($A17, Κανονικοποίηση!$A$2:$K$8, 8, 0) - VLOOKUP($B17, Κανονικοποίηση!$A$2:$K$8, 8, 0) &gt; 0, 1, 0)</f>
        <v>0</v>
      </c>
      <c r="J17" s="35">
        <f>IF(VLOOKUP($A17, Κανονικοποίηση!$A$2:$K$8, 9, 0) - VLOOKUP($B17, Κανονικοποίηση!$A$2:$K$8, 9, 0) &gt; 0, 1, 0)</f>
        <v>1</v>
      </c>
      <c r="K17" s="35">
        <f>IF(VLOOKUP($A17, Κανονικοποίηση!$A$2:$K$8, 10, 0) - VLOOKUP($B17, Κανονικοποίηση!$A$2:$K$8, 10, 0) &gt; 0, 1, 0)</f>
        <v>1</v>
      </c>
      <c r="L17" s="36">
        <f>IF(VLOOKUP($A17, Κανονικοποίηση!$A$2:$K$8, 11, 0) - VLOOKUP($B17, Κανονικοποίηση!$A$2:$K$8, 11, 0) &gt; 0, 1, 0)</f>
        <v>0</v>
      </c>
      <c r="M17" s="41" cm="1">
        <f t="array" ref="M17">SUMPRODUCT(C17:L17, TRANSPOSE(Βάρη!$E$2:$E$11))</f>
        <v>0.33529999999999999</v>
      </c>
      <c r="N17" s="25" cm="1">
        <f t="array" ref="N17">SUMPRODUCT(C17:L17, TRANSPOSE(Βάρη!$C$2:$C$11))</f>
        <v>0.38181818181818183</v>
      </c>
      <c r="O17" s="25" cm="1">
        <f t="array" ref="O17">SUMPRODUCT(C17:L17, TRANSPOSE(Βάρη!$F$2:$F$11))</f>
        <v>0.38181818181818183</v>
      </c>
      <c r="P17" s="41" cm="1">
        <f t="array" ref="P17">SUMPRODUCT(C17:L17, TRANSPOSE(Σύνοψη!$J$3:$J$12))</f>
        <v>1.0945117615913194</v>
      </c>
      <c r="Q17" s="25" cm="1">
        <f t="array" ref="Q17">SUMPRODUCT(C17:L17, TRANSPOSE(Βάρη!$D$2:$D$11))</f>
        <v>0.32570112450887412</v>
      </c>
    </row>
    <row r="18" spans="1:17">
      <c r="A18" s="47" t="s">
        <v>11</v>
      </c>
      <c r="B18" s="47" t="s">
        <v>14</v>
      </c>
      <c r="C18" s="35">
        <f>IF(VLOOKUP($A18, Κανονικοποίηση!$A$2:$K$8, 2, 0) - VLOOKUP($B18, Κανονικοποίηση!$A$2:$K$8, 2, 0) &lt;= $C$2, 0, IF(VLOOKUP($A18, Κανονικοποίηση!$A$2:$K$8, 2, 0) - VLOOKUP($B18, Κανονικοποίηση!$A$2:$K$8, 2, 0) &gt;= $D$2, 1, (VLOOKUP($A18, Κανονικοποίηση!$A$2:$K$8, 2, 0) - VLOOKUP($B18, Κανονικοποίηση!$A$2:$K$8, 2, 0) - $C$2) / ($D$2 - $C$2)))</f>
        <v>1</v>
      </c>
      <c r="D18" s="35">
        <f>IF(VLOOKUP($A18, Κανονικοποίηση!$A$2:$K$8, 3, 0) - VLOOKUP($B18, Κανονικοποίηση!$A$2:$K$8, 3, 0) &gt; 0, 1, 0)</f>
        <v>0</v>
      </c>
      <c r="E18" s="35">
        <f>IF(VLOOKUP($A18, Κανονικοποίηση!$A$2:$K$8, 4, 0) - VLOOKUP($B18, Κανονικοποίηση!$A$2:$K$8, 4, 0) &gt; 0, 1, 0)</f>
        <v>0</v>
      </c>
      <c r="F18" s="35">
        <f>IF(VLOOKUP($A18, Κανονικοποίηση!$A$2:$K$8, 5, 0) - VLOOKUP($B18, Κανονικοποίηση!$A$2:$K$8, 5, 0) &gt; $C$5, 1, 0)</f>
        <v>0</v>
      </c>
      <c r="G18" s="35">
        <f>IF(VLOOKUP($A18, Κανονικοποίηση!$A$2:$K$8, 6, 0) - VLOOKUP($B18, Κανονικοποίηση!$A$2:$K$8, 6, 0) &gt; 0, 1, 0)</f>
        <v>0</v>
      </c>
      <c r="H18" s="35">
        <f>IF(VLOOKUP($A18, Κανονικοποίηση!$A$2:$K$8, 7, 0) - VLOOKUP($B18, Κανονικοποίηση!$A$2:$K$8, 7, 0) &lt;= 0, 0, IF(VLOOKUP($A18, Κανονικοποίηση!$A$2:$K$8, 7, 0) - VLOOKUP($B18, Κανονικοποίηση!$A$2:$K$8, 7, 0) &gt;= $D$7, 1, (VLOOKUP($A18, Κανονικοποίηση!$A$2:$K$8, 7, 0) - VLOOKUP($B18, Κανονικοποίηση!$A$2:$K$8, 7, 0)) / $D$7))</f>
        <v>1</v>
      </c>
      <c r="I18" s="35">
        <f>IF(VLOOKUP($A18, Κανονικοποίηση!$A$2:$K$8, 8, 0) - VLOOKUP($B18, Κανονικοποίηση!$A$2:$K$8, 8, 0) &gt; 0, 1, 0)</f>
        <v>0</v>
      </c>
      <c r="J18" s="35">
        <f>IF(VLOOKUP($A18, Κανονικοποίηση!$A$2:$K$8, 9, 0) - VLOOKUP($B18, Κανονικοποίηση!$A$2:$K$8, 9, 0) &gt; 0, 1, 0)</f>
        <v>0</v>
      </c>
      <c r="K18" s="35">
        <f>IF(VLOOKUP($A18, Κανονικοποίηση!$A$2:$K$8, 10, 0) - VLOOKUP($B18, Κανονικοποίηση!$A$2:$K$8, 10, 0) &gt; 0, 1, 0)</f>
        <v>1</v>
      </c>
      <c r="L18" s="36">
        <f>IF(VLOOKUP($A18, Κανονικοποίηση!$A$2:$K$8, 11, 0) - VLOOKUP($B18, Κανονικοποίηση!$A$2:$K$8, 11, 0) &gt; 0, 1, 0)</f>
        <v>0</v>
      </c>
      <c r="M18" s="41" cm="1">
        <f t="array" ref="M18">SUMPRODUCT(C18:L18, TRANSPOSE(Βάρη!$E$2:$E$11))</f>
        <v>0.41239999999999999</v>
      </c>
      <c r="N18" s="25" cm="1">
        <f t="array" ref="N18">SUMPRODUCT(C18:L18, TRANSPOSE(Βάρη!$C$2:$C$11))</f>
        <v>0.34545454545454546</v>
      </c>
      <c r="O18" s="25" cm="1">
        <f t="array" ref="O18">SUMPRODUCT(C18:L18, TRANSPOSE(Βάρη!$F$2:$F$11))</f>
        <v>0.30909090909090908</v>
      </c>
      <c r="P18" s="41" cm="1">
        <f t="array" ref="P18">SUMPRODUCT(C18:L18, TRANSPOSE(Σύνοψη!$J$3:$J$12))</f>
        <v>1.1672730193399228</v>
      </c>
      <c r="Q18" s="25" cm="1">
        <f t="array" ref="Q18">SUMPRODUCT(C18:L18, TRANSPOSE(Βάρη!$D$2:$D$11))</f>
        <v>0.46470667931174647</v>
      </c>
    </row>
    <row r="19" spans="1:17">
      <c r="A19" s="47" t="s">
        <v>11</v>
      </c>
      <c r="B19" s="47" t="s">
        <v>15</v>
      </c>
      <c r="C19" s="35">
        <f>IF(VLOOKUP($A19, Κανονικοποίηση!$A$2:$K$8, 2, 0) - VLOOKUP($B19, Κανονικοποίηση!$A$2:$K$8, 2, 0) &lt;= $C$2, 0, IF(VLOOKUP($A19, Κανονικοποίηση!$A$2:$K$8, 2, 0) - VLOOKUP($B19, Κανονικοποίηση!$A$2:$K$8, 2, 0) &gt;= $D$2, 1, (VLOOKUP($A19, Κανονικοποίηση!$A$2:$K$8, 2, 0) - VLOOKUP($B19, Κανονικοποίηση!$A$2:$K$8, 2, 0) - $C$2) / ($D$2 - $C$2)))</f>
        <v>0</v>
      </c>
      <c r="D19" s="35">
        <f>IF(VLOOKUP($A19, Κανονικοποίηση!$A$2:$K$8, 3, 0) - VLOOKUP($B19, Κανονικοποίηση!$A$2:$K$8, 3, 0) &gt; 0, 1, 0)</f>
        <v>1</v>
      </c>
      <c r="E19" s="35">
        <f>IF(VLOOKUP($A19, Κανονικοποίηση!$A$2:$K$8, 4, 0) - VLOOKUP($B19, Κανονικοποίηση!$A$2:$K$8, 4, 0) &gt; 0, 1, 0)</f>
        <v>1</v>
      </c>
      <c r="F19" s="35">
        <f>IF(VLOOKUP($A19, Κανονικοποίηση!$A$2:$K$8, 5, 0) - VLOOKUP($B19, Κανονικοποίηση!$A$2:$K$8, 5, 0) &gt; $C$5, 1, 0)</f>
        <v>1</v>
      </c>
      <c r="G19" s="35">
        <f>IF(VLOOKUP($A19, Κανονικοποίηση!$A$2:$K$8, 6, 0) - VLOOKUP($B19, Κανονικοποίηση!$A$2:$K$8, 6, 0) &gt; 0, 1, 0)</f>
        <v>0</v>
      </c>
      <c r="H19" s="35">
        <f>IF(VLOOKUP($A19, Κανονικοποίηση!$A$2:$K$8, 7, 0) - VLOOKUP($B19, Κανονικοποίηση!$A$2:$K$8, 7, 0) &lt;= 0, 0, IF(VLOOKUP($A19, Κανονικοποίηση!$A$2:$K$8, 7, 0) - VLOOKUP($B19, Κανονικοποίηση!$A$2:$K$8, 7, 0) &gt;= $D$7, 1, (VLOOKUP($A19, Κανονικοποίηση!$A$2:$K$8, 7, 0) - VLOOKUP($B19, Κανονικοποίηση!$A$2:$K$8, 7, 0)) / $D$7))</f>
        <v>0</v>
      </c>
      <c r="I19" s="35">
        <f>IF(VLOOKUP($A19, Κανονικοποίηση!$A$2:$K$8, 8, 0) - VLOOKUP($B19, Κανονικοποίηση!$A$2:$K$8, 8, 0) &gt; 0, 1, 0)</f>
        <v>0</v>
      </c>
      <c r="J19" s="35">
        <f>IF(VLOOKUP($A19, Κανονικοποίηση!$A$2:$K$8, 9, 0) - VLOOKUP($B19, Κανονικοποίηση!$A$2:$K$8, 9, 0) &gt; 0, 1, 0)</f>
        <v>1</v>
      </c>
      <c r="K19" s="35">
        <f>IF(VLOOKUP($A19, Κανονικοποίηση!$A$2:$K$8, 10, 0) - VLOOKUP($B19, Κανονικοποίηση!$A$2:$K$8, 10, 0) &gt; 0, 1, 0)</f>
        <v>1</v>
      </c>
      <c r="L19" s="36">
        <f>IF(VLOOKUP($A19, Κανονικοποίηση!$A$2:$K$8, 11, 0) - VLOOKUP($B19, Κανονικοποίηση!$A$2:$K$8, 11, 0) &gt; 0, 1, 0)</f>
        <v>1</v>
      </c>
      <c r="M19" s="41" cm="1">
        <f t="array" ref="M19">SUMPRODUCT(C19:L19, TRANSPOSE(Βάρη!$E$2:$E$11))</f>
        <v>0.49930000000000002</v>
      </c>
      <c r="N19" s="25" cm="1">
        <f t="array" ref="N19">SUMPRODUCT(C19:L19, TRANSPOSE(Βάρη!$C$2:$C$11))</f>
        <v>0.54545454545454541</v>
      </c>
      <c r="O19" s="25" cm="1">
        <f t="array" ref="O19">SUMPRODUCT(C19:L19, TRANSPOSE(Βάρη!$F$2:$F$11))</f>
        <v>0.54545454545454541</v>
      </c>
      <c r="P19" s="41" cm="1">
        <f t="array" ref="P19">SUMPRODUCT(C19:L19, TRANSPOSE(Σύνοψη!$J$3:$J$12))</f>
        <v>1.6955428806038633</v>
      </c>
      <c r="Q19" s="25" cm="1">
        <f t="array" ref="Q19">SUMPRODUCT(C19:L19, TRANSPOSE(Βάρη!$D$2:$D$11))</f>
        <v>0.47364855710608328</v>
      </c>
    </row>
    <row r="20" spans="1:17">
      <c r="A20" s="47" t="s">
        <v>11</v>
      </c>
      <c r="B20" s="47" t="s">
        <v>16</v>
      </c>
      <c r="C20" s="35">
        <f>IF(VLOOKUP($A20, Κανονικοποίηση!$A$2:$K$8, 2, 0) - VLOOKUP($B20, Κανονικοποίηση!$A$2:$K$8, 2, 0) &lt;= $C$2, 0, IF(VLOOKUP($A20, Κανονικοποίηση!$A$2:$K$8, 2, 0) - VLOOKUP($B20, Κανονικοποίηση!$A$2:$K$8, 2, 0) &gt;= $D$2, 1, (VLOOKUP($A20, Κανονικοποίηση!$A$2:$K$8, 2, 0) - VLOOKUP($B20, Κανονικοποίηση!$A$2:$K$8, 2, 0) - $C$2) / ($D$2 - $C$2)))</f>
        <v>0.66666666666666674</v>
      </c>
      <c r="D20" s="35">
        <f>IF(VLOOKUP($A20, Κανονικοποίηση!$A$2:$K$8, 3, 0) - VLOOKUP($B20, Κανονικοποίηση!$A$2:$K$8, 3, 0) &gt; 0, 1, 0)</f>
        <v>0</v>
      </c>
      <c r="E20" s="35">
        <f>IF(VLOOKUP($A20, Κανονικοποίηση!$A$2:$K$8, 4, 0) - VLOOKUP($B20, Κανονικοποίηση!$A$2:$K$8, 4, 0) &gt; 0, 1, 0)</f>
        <v>0</v>
      </c>
      <c r="F20" s="35">
        <f>IF(VLOOKUP($A20, Κανονικοποίηση!$A$2:$K$8, 5, 0) - VLOOKUP($B20, Κανονικοποίηση!$A$2:$K$8, 5, 0) &gt; $C$5, 1, 0)</f>
        <v>0</v>
      </c>
      <c r="G20" s="35">
        <f>IF(VLOOKUP($A20, Κανονικοποίηση!$A$2:$K$8, 6, 0) - VLOOKUP($B20, Κανονικοποίηση!$A$2:$K$8, 6, 0) &gt; 0, 1, 0)</f>
        <v>0</v>
      </c>
      <c r="H20" s="35">
        <f>IF(VLOOKUP($A20, Κανονικοποίηση!$A$2:$K$8, 7, 0) - VLOOKUP($B20, Κανονικοποίηση!$A$2:$K$8, 7, 0) &lt;= 0, 0, IF(VLOOKUP($A20, Κανονικοποίηση!$A$2:$K$8, 7, 0) - VLOOKUP($B20, Κανονικοποίηση!$A$2:$K$8, 7, 0) &gt;= $D$7, 1, (VLOOKUP($A20, Κανονικοποίηση!$A$2:$K$8, 7, 0) - VLOOKUP($B20, Κανονικοποίηση!$A$2:$K$8, 7, 0)) / $D$7))</f>
        <v>1</v>
      </c>
      <c r="I20" s="35">
        <f>IF(VLOOKUP($A20, Κανονικοποίηση!$A$2:$K$8, 8, 0) - VLOOKUP($B20, Κανονικοποίηση!$A$2:$K$8, 8, 0) &gt; 0, 1, 0)</f>
        <v>1</v>
      </c>
      <c r="J20" s="35">
        <f>IF(VLOOKUP($A20, Κανονικοποίηση!$A$2:$K$8, 9, 0) - VLOOKUP($B20, Κανονικοποίηση!$A$2:$K$8, 9, 0) &gt; 0, 1, 0)</f>
        <v>0</v>
      </c>
      <c r="K20" s="35">
        <f>IF(VLOOKUP($A20, Κανονικοποίηση!$A$2:$K$8, 10, 0) - VLOOKUP($B20, Κανονικοποίηση!$A$2:$K$8, 10, 0) &gt; 0, 1, 0)</f>
        <v>1</v>
      </c>
      <c r="L20" s="36">
        <f>IF(VLOOKUP($A20, Κανονικοποίηση!$A$2:$K$8, 11, 0) - VLOOKUP($B20, Κανονικοποίηση!$A$2:$K$8, 11, 0) &gt; 0, 1, 0)</f>
        <v>0</v>
      </c>
      <c r="M20" s="41" cm="1">
        <f t="array" ref="M20">SUMPRODUCT(C20:L20, TRANSPOSE(Βάρη!$E$2:$E$11))</f>
        <v>0.34836666666666671</v>
      </c>
      <c r="N20" s="25" cm="1">
        <f t="array" ref="N20">SUMPRODUCT(C20:L20, TRANSPOSE(Βάρη!$C$2:$C$11))</f>
        <v>0.33939393939393941</v>
      </c>
      <c r="O20" s="25" cm="1">
        <f t="array" ref="O20">SUMPRODUCT(C20:L20, TRANSPOSE(Βάρη!$F$2:$F$11))</f>
        <v>0.32121212121212128</v>
      </c>
      <c r="P20" s="41" cm="1">
        <f t="array" ref="P20">SUMPRODUCT(C20:L20, TRANSPOSE(Σύνοψη!$J$3:$J$12))</f>
        <v>1.4093736174072631</v>
      </c>
      <c r="Q20" s="25" cm="1">
        <f t="array" ref="Q20">SUMPRODUCT(C20:L20, TRANSPOSE(Βάρη!$D$2:$D$11))</f>
        <v>0.3935781059477037</v>
      </c>
    </row>
    <row r="21" spans="1:17">
      <c r="A21" s="47" t="s">
        <v>11</v>
      </c>
      <c r="B21" s="47" t="s">
        <v>17</v>
      </c>
      <c r="C21" s="35">
        <f>IF(VLOOKUP($A21, Κανονικοποίηση!$A$2:$K$8, 2, 0) - VLOOKUP($B21, Κανονικοποίηση!$A$2:$K$8, 2, 0) &lt;= $C$2, 0, IF(VLOOKUP($A21, Κανονικοποίηση!$A$2:$K$8, 2, 0) - VLOOKUP($B21, Κανονικοποίηση!$A$2:$K$8, 2, 0) &gt;= $D$2, 1, (VLOOKUP($A21, Κανονικοποίηση!$A$2:$K$8, 2, 0) - VLOOKUP($B21, Κανονικοποίηση!$A$2:$K$8, 2, 0) - $C$2) / ($D$2 - $C$2)))</f>
        <v>0</v>
      </c>
      <c r="D21" s="35">
        <f>IF(VLOOKUP($A21, Κανονικοποίηση!$A$2:$K$8, 3, 0) - VLOOKUP($B21, Κανονικοποίηση!$A$2:$K$8, 3, 0) &gt; 0, 1, 0)</f>
        <v>1</v>
      </c>
      <c r="E21" s="35">
        <f>IF(VLOOKUP($A21, Κανονικοποίηση!$A$2:$K$8, 4, 0) - VLOOKUP($B21, Κανονικοποίηση!$A$2:$K$8, 4, 0) &gt; 0, 1, 0)</f>
        <v>1</v>
      </c>
      <c r="F21" s="35">
        <f>IF(VLOOKUP($A21, Κανονικοποίηση!$A$2:$K$8, 5, 0) - VLOOKUP($B21, Κανονικοποίηση!$A$2:$K$8, 5, 0) &gt; $C$5, 1, 0)</f>
        <v>1</v>
      </c>
      <c r="G21" s="35">
        <f>IF(VLOOKUP($A21, Κανονικοποίηση!$A$2:$K$8, 6, 0) - VLOOKUP($B21, Κανονικοποίηση!$A$2:$K$8, 6, 0) &gt; 0, 1, 0)</f>
        <v>0</v>
      </c>
      <c r="H21" s="35">
        <f>IF(VLOOKUP($A21, Κανονικοποίηση!$A$2:$K$8, 7, 0) - VLOOKUP($B21, Κανονικοποίηση!$A$2:$K$8, 7, 0) &lt;= 0, 0, IF(VLOOKUP($A21, Κανονικοποίηση!$A$2:$K$8, 7, 0) - VLOOKUP($B21, Κανονικοποίηση!$A$2:$K$8, 7, 0) &gt;= $D$7, 1, (VLOOKUP($A21, Κανονικοποίηση!$A$2:$K$8, 7, 0) - VLOOKUP($B21, Κανονικοποίηση!$A$2:$K$8, 7, 0)) / $D$7))</f>
        <v>0</v>
      </c>
      <c r="I21" s="35">
        <f>IF(VLOOKUP($A21, Κανονικοποίηση!$A$2:$K$8, 8, 0) - VLOOKUP($B21, Κανονικοποίηση!$A$2:$K$8, 8, 0) &gt; 0, 1, 0)</f>
        <v>0</v>
      </c>
      <c r="J21" s="35">
        <f>IF(VLOOKUP($A21, Κανονικοποίηση!$A$2:$K$8, 9, 0) - VLOOKUP($B21, Κανονικοποίηση!$A$2:$K$8, 9, 0) &gt; 0, 1, 0)</f>
        <v>1</v>
      </c>
      <c r="K21" s="35">
        <f>IF(VLOOKUP($A21, Κανονικοποίηση!$A$2:$K$8, 10, 0) - VLOOKUP($B21, Κανονικοποίηση!$A$2:$K$8, 10, 0) &gt; 0, 1, 0)</f>
        <v>1</v>
      </c>
      <c r="L21" s="36">
        <f>IF(VLOOKUP($A21, Κανονικοποίηση!$A$2:$K$8, 11, 0) - VLOOKUP($B21, Κανονικοποίηση!$A$2:$K$8, 11, 0) &gt; 0, 1, 0)</f>
        <v>1</v>
      </c>
      <c r="M21" s="41" cm="1">
        <f t="array" ref="M21">SUMPRODUCT(C21:L21, TRANSPOSE(Βάρη!$E$2:$E$11))</f>
        <v>0.49930000000000002</v>
      </c>
      <c r="N21" s="25" cm="1">
        <f t="array" ref="N21">SUMPRODUCT(C21:L21, TRANSPOSE(Βάρη!$C$2:$C$11))</f>
        <v>0.54545454545454541</v>
      </c>
      <c r="O21" s="25" cm="1">
        <f t="array" ref="O21">SUMPRODUCT(C21:L21, TRANSPOSE(Βάρη!$F$2:$F$11))</f>
        <v>0.54545454545454541</v>
      </c>
      <c r="P21" s="41" cm="1">
        <f t="array" ref="P21">SUMPRODUCT(C21:L21, TRANSPOSE(Σύνοψη!$J$3:$J$12))</f>
        <v>1.6955428806038633</v>
      </c>
      <c r="Q21" s="25" cm="1">
        <f t="array" ref="Q21">SUMPRODUCT(C21:L21, TRANSPOSE(Βάρη!$D$2:$D$11))</f>
        <v>0.47364855710608328</v>
      </c>
    </row>
    <row r="22" spans="1:17">
      <c r="A22" s="47" t="s">
        <v>12</v>
      </c>
      <c r="B22" s="47" t="s">
        <v>11</v>
      </c>
      <c r="C22" s="35">
        <f>IF(VLOOKUP($A22, Κανονικοποίηση!$A$2:$K$8, 2, 0) - VLOOKUP($B22, Κανονικοποίηση!$A$2:$K$8, 2, 0) &lt;= $C$2, 0, IF(VLOOKUP($A22, Κανονικοποίηση!$A$2:$K$8, 2, 0) - VLOOKUP($B22, Κανονικοποίηση!$A$2:$K$8, 2, 0) &gt;= $D$2, 1, (VLOOKUP($A22, Κανονικοποίηση!$A$2:$K$8, 2, 0) - VLOOKUP($B22, Κανονικοποίηση!$A$2:$K$8, 2, 0) - $C$2) / ($D$2 - $C$2)))</f>
        <v>0.66666666666666641</v>
      </c>
      <c r="D22" s="35">
        <f>IF(VLOOKUP($A22, Κανονικοποίηση!$A$2:$K$8, 3, 0) - VLOOKUP($B22, Κανονικοποίηση!$A$2:$K$8, 3, 0) &gt; 0, 1, 0)</f>
        <v>0</v>
      </c>
      <c r="E22" s="35">
        <f>IF(VLOOKUP($A22, Κανονικοποίηση!$A$2:$K$8, 4, 0) - VLOOKUP($B22, Κανονικοποίηση!$A$2:$K$8, 4, 0) &gt; 0, 1, 0)</f>
        <v>0</v>
      </c>
      <c r="F22" s="35">
        <f>IF(VLOOKUP($A22, Κανονικοποίηση!$A$2:$K$8, 5, 0) - VLOOKUP($B22, Κανονικοποίηση!$A$2:$K$8, 5, 0) &gt; $C$5, 1, 0)</f>
        <v>0</v>
      </c>
      <c r="G22" s="35">
        <f>IF(VLOOKUP($A22, Κανονικοποίηση!$A$2:$K$8, 6, 0) - VLOOKUP($B22, Κανονικοποίηση!$A$2:$K$8, 6, 0) &gt; 0, 1, 0)</f>
        <v>0</v>
      </c>
      <c r="H22" s="35">
        <f>IF(VLOOKUP($A22, Κανονικοποίηση!$A$2:$K$8, 7, 0) - VLOOKUP($B22, Κανονικοποίηση!$A$2:$K$8, 7, 0) &lt;= 0, 0, IF(VLOOKUP($A22, Κανονικοποίηση!$A$2:$K$8, 7, 0) - VLOOKUP($B22, Κανονικοποίηση!$A$2:$K$8, 7, 0) &gt;= $D$7, 1, (VLOOKUP($A22, Κανονικοποίηση!$A$2:$K$8, 7, 0) - VLOOKUP($B22, Κανονικοποίηση!$A$2:$K$8, 7, 0)) / $D$7))</f>
        <v>0</v>
      </c>
      <c r="I22" s="35">
        <f>IF(VLOOKUP($A22, Κανονικοποίηση!$A$2:$K$8, 8, 0) - VLOOKUP($B22, Κανονικοποίηση!$A$2:$K$8, 8, 0) &gt; 0, 1, 0)</f>
        <v>1</v>
      </c>
      <c r="J22" s="35">
        <f>IF(VLOOKUP($A22, Κανονικοποίηση!$A$2:$K$8, 9, 0) - VLOOKUP($B22, Κανονικοποίηση!$A$2:$K$8, 9, 0) &gt; 0, 1, 0)</f>
        <v>0</v>
      </c>
      <c r="K22" s="35">
        <f>IF(VLOOKUP($A22, Κανονικοποίηση!$A$2:$K$8, 10, 0) - VLOOKUP($B22, Κανονικοποίηση!$A$2:$K$8, 10, 0) &gt; 0, 1, 0)</f>
        <v>0</v>
      </c>
      <c r="L22" s="36">
        <f>IF(VLOOKUP($A22, Κανονικοποίηση!$A$2:$K$8, 11, 0) - VLOOKUP($B22, Κανονικοποίηση!$A$2:$K$8, 11, 0) &gt; 0, 1, 0)</f>
        <v>1</v>
      </c>
      <c r="M22" s="41" cm="1">
        <f t="array" ref="M22">SUMPRODUCT(C22:L22, TRANSPOSE(Βάρη!$E$2:$E$11))</f>
        <v>0.24996666666666659</v>
      </c>
      <c r="N22" s="25" cm="1">
        <f t="array" ref="N22">SUMPRODUCT(C22:L22, TRANSPOSE(Βάρη!$C$2:$C$11))</f>
        <v>0.19393939393939391</v>
      </c>
      <c r="O22" s="25" cm="1">
        <f t="array" ref="O22">SUMPRODUCT(C22:L22, TRANSPOSE(Βάρη!$F$2:$F$11))</f>
        <v>0.2121212121212121</v>
      </c>
      <c r="P22" s="41" cm="1">
        <f t="array" ref="P22">SUMPRODUCT(C22:L22, TRANSPOSE(Σύνοψη!$J$3:$J$12))</f>
        <v>0.80157531403078108</v>
      </c>
      <c r="Q22" s="25" cm="1">
        <f t="array" ref="Q22">SUMPRODUCT(C22:L22, TRANSPOSE(Βάρη!$D$2:$D$11))</f>
        <v>0.30443029399810317</v>
      </c>
    </row>
    <row r="23" spans="1:17">
      <c r="A23" s="47" t="s">
        <v>12</v>
      </c>
      <c r="B23" s="47" t="s">
        <v>13</v>
      </c>
      <c r="C23" s="35">
        <f>IF(VLOOKUP($A23, Κανονικοποίηση!$A$2:$K$8, 2, 0) - VLOOKUP($B23, Κανονικοποίηση!$A$2:$K$8, 2, 0) &lt;= $C$2, 0, IF(VLOOKUP($A23, Κανονικοποίηση!$A$2:$K$8, 2, 0) - VLOOKUP($B23, Κανονικοποίηση!$A$2:$K$8, 2, 0) &gt;= $D$2, 1, (VLOOKUP($A23, Κανονικοποίηση!$A$2:$K$8, 2, 0) - VLOOKUP($B23, Κανονικοποίηση!$A$2:$K$8, 2, 0) - $C$2) / ($D$2 - $C$2)))</f>
        <v>0</v>
      </c>
      <c r="D23" s="35">
        <f>IF(VLOOKUP($A23, Κανονικοποίηση!$A$2:$K$8, 3, 0) - VLOOKUP($B23, Κανονικοποίηση!$A$2:$K$8, 3, 0) &gt; 0, 1, 0)</f>
        <v>0</v>
      </c>
      <c r="E23" s="35">
        <f>IF(VLOOKUP($A23, Κανονικοποίηση!$A$2:$K$8, 4, 0) - VLOOKUP($B23, Κανονικοποίηση!$A$2:$K$8, 4, 0) &gt; 0, 1, 0)</f>
        <v>0</v>
      </c>
      <c r="F23" s="35">
        <f>IF(VLOOKUP($A23, Κανονικοποίηση!$A$2:$K$8, 5, 0) - VLOOKUP($B23, Κανονικοποίηση!$A$2:$K$8, 5, 0) &gt; $C$5, 1, 0)</f>
        <v>1</v>
      </c>
      <c r="G23" s="35">
        <f>IF(VLOOKUP($A23, Κανονικοποίηση!$A$2:$K$8, 6, 0) - VLOOKUP($B23, Κανονικοποίηση!$A$2:$K$8, 6, 0) &gt; 0, 1, 0)</f>
        <v>0</v>
      </c>
      <c r="H23" s="35">
        <f>IF(VLOOKUP($A23, Κανονικοποίηση!$A$2:$K$8, 7, 0) - VLOOKUP($B23, Κανονικοποίηση!$A$2:$K$8, 7, 0) &lt;= 0, 0, IF(VLOOKUP($A23, Κανονικοποίηση!$A$2:$K$8, 7, 0) - VLOOKUP($B23, Κανονικοποίηση!$A$2:$K$8, 7, 0) &gt;= $D$7, 1, (VLOOKUP($A23, Κανονικοποίηση!$A$2:$K$8, 7, 0) - VLOOKUP($B23, Κανονικοποίηση!$A$2:$K$8, 7, 0)) / $D$7))</f>
        <v>0</v>
      </c>
      <c r="I23" s="35">
        <f>IF(VLOOKUP($A23, Κανονικοποίηση!$A$2:$K$8, 8, 0) - VLOOKUP($B23, Κανονικοποίηση!$A$2:$K$8, 8, 0) &gt; 0, 1, 0)</f>
        <v>1</v>
      </c>
      <c r="J23" s="35">
        <f>IF(VLOOKUP($A23, Κανονικοποίηση!$A$2:$K$8, 9, 0) - VLOOKUP($B23, Κανονικοποίηση!$A$2:$K$8, 9, 0) &gt; 0, 1, 0)</f>
        <v>1</v>
      </c>
      <c r="K23" s="35">
        <f>IF(VLOOKUP($A23, Κανονικοποίηση!$A$2:$K$8, 10, 0) - VLOOKUP($B23, Κανονικοποίηση!$A$2:$K$8, 10, 0) &gt; 0, 1, 0)</f>
        <v>1</v>
      </c>
      <c r="L23" s="36">
        <f>IF(VLOOKUP($A23, Κανονικοποίηση!$A$2:$K$8, 11, 0) - VLOOKUP($B23, Κανονικοποίηση!$A$2:$K$8, 11, 0) &gt; 0, 1, 0)</f>
        <v>1</v>
      </c>
      <c r="M23" s="41" cm="1">
        <f t="array" ref="M23">SUMPRODUCT(C23:L23, TRANSPOSE(Βάρη!$E$2:$E$11))</f>
        <v>0.19709999999999997</v>
      </c>
      <c r="N23" s="25" cm="1">
        <f t="array" ref="N23">SUMPRODUCT(C23:L23, TRANSPOSE(Βάρη!$C$2:$C$11))</f>
        <v>0.29090909090909089</v>
      </c>
      <c r="O23" s="25" cm="1">
        <f t="array" ref="O23">SUMPRODUCT(C23:L23, TRANSPOSE(Βάρη!$F$2:$F$11))</f>
        <v>0.30909090909090908</v>
      </c>
      <c r="P23" s="41" cm="1">
        <f t="array" ref="P23">SUMPRODUCT(C23:L23, TRANSPOSE(Σύνοψη!$J$3:$J$12))</f>
        <v>1.0717834228034575</v>
      </c>
      <c r="Q23" s="25" cm="1">
        <f t="array" ref="Q23">SUMPRODUCT(C23:L23, TRANSPOSE(Βάρη!$D$2:$D$11))</f>
        <v>0.23181140766833763</v>
      </c>
    </row>
    <row r="24" spans="1:17">
      <c r="A24" s="47" t="s">
        <v>12</v>
      </c>
      <c r="B24" s="47" t="s">
        <v>14</v>
      </c>
      <c r="C24" s="35">
        <f>IF(VLOOKUP($A24, Κανονικοποίηση!$A$2:$K$8, 2, 0) - VLOOKUP($B24, Κανονικοποίηση!$A$2:$K$8, 2, 0) &lt;= $C$2, 0, IF(VLOOKUP($A24, Κανονικοποίηση!$A$2:$K$8, 2, 0) - VLOOKUP($B24, Κανονικοποίηση!$A$2:$K$8, 2, 0) &gt;= $D$2, 1, (VLOOKUP($A24, Κανονικοποίηση!$A$2:$K$8, 2, 0) - VLOOKUP($B24, Κανονικοποίηση!$A$2:$K$8, 2, 0) - $C$2) / ($D$2 - $C$2)))</f>
        <v>1</v>
      </c>
      <c r="D24" s="35">
        <f>IF(VLOOKUP($A24, Κανονικοποίηση!$A$2:$K$8, 3, 0) - VLOOKUP($B24, Κανονικοποίηση!$A$2:$K$8, 3, 0) &gt; 0, 1, 0)</f>
        <v>0</v>
      </c>
      <c r="E24" s="35">
        <f>IF(VLOOKUP($A24, Κανονικοποίηση!$A$2:$K$8, 4, 0) - VLOOKUP($B24, Κανονικοποίηση!$A$2:$K$8, 4, 0) &gt; 0, 1, 0)</f>
        <v>0</v>
      </c>
      <c r="F24" s="35">
        <f>IF(VLOOKUP($A24, Κανονικοποίηση!$A$2:$K$8, 5, 0) - VLOOKUP($B24, Κανονικοποίηση!$A$2:$K$8, 5, 0) &gt; $C$5, 1, 0)</f>
        <v>0</v>
      </c>
      <c r="G24" s="35">
        <f>IF(VLOOKUP($A24, Κανονικοποίηση!$A$2:$K$8, 6, 0) - VLOOKUP($B24, Κανονικοποίηση!$A$2:$K$8, 6, 0) &gt; 0, 1, 0)</f>
        <v>0</v>
      </c>
      <c r="H24" s="35">
        <f>IF(VLOOKUP($A24, Κανονικοποίηση!$A$2:$K$8, 7, 0) - VLOOKUP($B24, Κανονικοποίηση!$A$2:$K$8, 7, 0) &lt;= 0, 0, IF(VLOOKUP($A24, Κανονικοποίηση!$A$2:$K$8, 7, 0) - VLOOKUP($B24, Κανονικοποίηση!$A$2:$K$8, 7, 0) &gt;= $D$7, 1, (VLOOKUP($A24, Κανονικοποίηση!$A$2:$K$8, 7, 0) - VLOOKUP($B24, Κανονικοποίηση!$A$2:$K$8, 7, 0)) / $D$7))</f>
        <v>1</v>
      </c>
      <c r="I24" s="35">
        <f>IF(VLOOKUP($A24, Κανονικοποίηση!$A$2:$K$8, 8, 0) - VLOOKUP($B24, Κανονικοποίηση!$A$2:$K$8, 8, 0) &gt; 0, 1, 0)</f>
        <v>1</v>
      </c>
      <c r="J24" s="35">
        <f>IF(VLOOKUP($A24, Κανονικοποίηση!$A$2:$K$8, 9, 0) - VLOOKUP($B24, Κανονικοποίηση!$A$2:$K$8, 9, 0) &gt; 0, 1, 0)</f>
        <v>0</v>
      </c>
      <c r="K24" s="35">
        <f>IF(VLOOKUP($A24, Κανονικοποίηση!$A$2:$K$8, 10, 0) - VLOOKUP($B24, Κανονικοποίηση!$A$2:$K$8, 10, 0) &gt; 0, 1, 0)</f>
        <v>1</v>
      </c>
      <c r="L24" s="36">
        <f>IF(VLOOKUP($A24, Κανονικοποίηση!$A$2:$K$8, 11, 0) - VLOOKUP($B24, Κανονικοποίηση!$A$2:$K$8, 11, 0) &gt; 0, 1, 0)</f>
        <v>0</v>
      </c>
      <c r="M24" s="41" cm="1">
        <f t="array" ref="M24">SUMPRODUCT(C24:L24, TRANSPOSE(Βάρη!$E$2:$E$11))</f>
        <v>0.44600000000000001</v>
      </c>
      <c r="N24" s="25" cm="1">
        <f t="array" ref="N24">SUMPRODUCT(C24:L24, TRANSPOSE(Βάρη!$C$2:$C$11))</f>
        <v>0.4</v>
      </c>
      <c r="O24" s="25" cm="1">
        <f t="array" ref="O24">SUMPRODUCT(C24:L24, TRANSPOSE(Βάρη!$F$2:$F$11))</f>
        <v>0.38181818181818183</v>
      </c>
      <c r="P24" s="41" cm="1">
        <f t="array" ref="P24">SUMPRODUCT(C24:L24, TRANSPOSE(Σύνοψη!$J$3:$J$12))</f>
        <v>1.5958651893950766</v>
      </c>
      <c r="Q24" s="25" cm="1">
        <f t="array" ref="Q24">SUMPRODUCT(C24:L24, TRANSPOSE(Βάρη!$D$2:$D$11))</f>
        <v>0.50738382333017218</v>
      </c>
    </row>
    <row r="25" spans="1:17">
      <c r="A25" s="47" t="s">
        <v>12</v>
      </c>
      <c r="B25" s="47" t="s">
        <v>15</v>
      </c>
      <c r="C25" s="35">
        <f>IF(VLOOKUP($A25, Κανονικοποίηση!$A$2:$K$8, 2, 0) - VLOOKUP($B25, Κανονικοποίηση!$A$2:$K$8, 2, 0) &lt;= $C$2, 0, IF(VLOOKUP($A25, Κανονικοποίηση!$A$2:$K$8, 2, 0) - VLOOKUP($B25, Κανονικοποίηση!$A$2:$K$8, 2, 0) &gt;= $D$2, 1, (VLOOKUP($A25, Κανονικοποίηση!$A$2:$K$8, 2, 0) - VLOOKUP($B25, Κανονικοποίηση!$A$2:$K$8, 2, 0) - $C$2) / ($D$2 - $C$2)))</f>
        <v>0</v>
      </c>
      <c r="D25" s="35">
        <f>IF(VLOOKUP($A25, Κανονικοποίηση!$A$2:$K$8, 3, 0) - VLOOKUP($B25, Κανονικοποίηση!$A$2:$K$8, 3, 0) &gt; 0, 1, 0)</f>
        <v>1</v>
      </c>
      <c r="E25" s="35">
        <f>IF(VLOOKUP($A25, Κανονικοποίηση!$A$2:$K$8, 4, 0) - VLOOKUP($B25, Κανονικοποίηση!$A$2:$K$8, 4, 0) &gt; 0, 1, 0)</f>
        <v>1</v>
      </c>
      <c r="F25" s="35">
        <f>IF(VLOOKUP($A25, Κανονικοποίηση!$A$2:$K$8, 5, 0) - VLOOKUP($B25, Κανονικοποίηση!$A$2:$K$8, 5, 0) &gt; $C$5, 1, 0)</f>
        <v>1</v>
      </c>
      <c r="G25" s="35">
        <f>IF(VLOOKUP($A25, Κανονικοποίηση!$A$2:$K$8, 6, 0) - VLOOKUP($B25, Κανονικοποίηση!$A$2:$K$8, 6, 0) &gt; 0, 1, 0)</f>
        <v>0</v>
      </c>
      <c r="H25" s="35">
        <f>IF(VLOOKUP($A25, Κανονικοποίηση!$A$2:$K$8, 7, 0) - VLOOKUP($B25, Κανονικοποίηση!$A$2:$K$8, 7, 0) &lt;= 0, 0, IF(VLOOKUP($A25, Κανονικοποίηση!$A$2:$K$8, 7, 0) - VLOOKUP($B25, Κανονικοποίηση!$A$2:$K$8, 7, 0) &gt;= $D$7, 1, (VLOOKUP($A25, Κανονικοποίηση!$A$2:$K$8, 7, 0) - VLOOKUP($B25, Κανονικοποίηση!$A$2:$K$8, 7, 0)) / $D$7))</f>
        <v>0</v>
      </c>
      <c r="I25" s="35">
        <f>IF(VLOOKUP($A25, Κανονικοποίηση!$A$2:$K$8, 8, 0) - VLOOKUP($B25, Κανονικοποίηση!$A$2:$K$8, 8, 0) &gt; 0, 1, 0)</f>
        <v>0</v>
      </c>
      <c r="J25" s="35">
        <f>IF(VLOOKUP($A25, Κανονικοποίηση!$A$2:$K$8, 9, 0) - VLOOKUP($B25, Κανονικοποίηση!$A$2:$K$8, 9, 0) &gt; 0, 1, 0)</f>
        <v>1</v>
      </c>
      <c r="K25" s="35">
        <f>IF(VLOOKUP($A25, Κανονικοποίηση!$A$2:$K$8, 10, 0) - VLOOKUP($B25, Κανονικοποίηση!$A$2:$K$8, 10, 0) &gt; 0, 1, 0)</f>
        <v>1</v>
      </c>
      <c r="L25" s="36">
        <f>IF(VLOOKUP($A25, Κανονικοποίηση!$A$2:$K$8, 11, 0) - VLOOKUP($B25, Κανονικοποίηση!$A$2:$K$8, 11, 0) &gt; 0, 1, 0)</f>
        <v>1</v>
      </c>
      <c r="M25" s="41" cm="1">
        <f t="array" ref="M25">SUMPRODUCT(C25:L25, TRANSPOSE(Βάρη!$E$2:$E$11))</f>
        <v>0.49930000000000002</v>
      </c>
      <c r="N25" s="25" cm="1">
        <f t="array" ref="N25">SUMPRODUCT(C25:L25, TRANSPOSE(Βάρη!$C$2:$C$11))</f>
        <v>0.54545454545454541</v>
      </c>
      <c r="O25" s="25" cm="1">
        <f t="array" ref="O25">SUMPRODUCT(C25:L25, TRANSPOSE(Βάρη!$F$2:$F$11))</f>
        <v>0.54545454545454541</v>
      </c>
      <c r="P25" s="41" cm="1">
        <f t="array" ref="P25">SUMPRODUCT(C25:L25, TRANSPOSE(Σύνοψη!$J$3:$J$12))</f>
        <v>1.6955428806038633</v>
      </c>
      <c r="Q25" s="25" cm="1">
        <f t="array" ref="Q25">SUMPRODUCT(C25:L25, TRANSPOSE(Βάρη!$D$2:$D$11))</f>
        <v>0.47364855710608328</v>
      </c>
    </row>
    <row r="26" spans="1:17">
      <c r="A26" s="47" t="s">
        <v>12</v>
      </c>
      <c r="B26" s="47" t="s">
        <v>16</v>
      </c>
      <c r="C26" s="35">
        <f>IF(VLOOKUP($A26, Κανονικοποίηση!$A$2:$K$8, 2, 0) - VLOOKUP($B26, Κανονικοποίηση!$A$2:$K$8, 2, 0) &lt;= $C$2, 0, IF(VLOOKUP($A26, Κανονικοποίηση!$A$2:$K$8, 2, 0) - VLOOKUP($B26, Κανονικοποίηση!$A$2:$K$8, 2, 0) &gt;= $D$2, 1, (VLOOKUP($A26, Κανονικοποίηση!$A$2:$K$8, 2, 0) - VLOOKUP($B26, Κανονικοποίηση!$A$2:$K$8, 2, 0) - $C$2) / ($D$2 - $C$2)))</f>
        <v>1</v>
      </c>
      <c r="D26" s="35">
        <f>IF(VLOOKUP($A26, Κανονικοποίηση!$A$2:$K$8, 3, 0) - VLOOKUP($B26, Κανονικοποίηση!$A$2:$K$8, 3, 0) &gt; 0, 1, 0)</f>
        <v>0</v>
      </c>
      <c r="E26" s="35">
        <f>IF(VLOOKUP($A26, Κανονικοποίηση!$A$2:$K$8, 4, 0) - VLOOKUP($B26, Κανονικοποίηση!$A$2:$K$8, 4, 0) &gt; 0, 1, 0)</f>
        <v>0</v>
      </c>
      <c r="F26" s="35">
        <f>IF(VLOOKUP($A26, Κανονικοποίηση!$A$2:$K$8, 5, 0) - VLOOKUP($B26, Κανονικοποίηση!$A$2:$K$8, 5, 0) &gt; $C$5, 1, 0)</f>
        <v>0</v>
      </c>
      <c r="G26" s="35">
        <f>IF(VLOOKUP($A26, Κανονικοποίηση!$A$2:$K$8, 6, 0) - VLOOKUP($B26, Κανονικοποίηση!$A$2:$K$8, 6, 0) &gt; 0, 1, 0)</f>
        <v>0</v>
      </c>
      <c r="H26" s="35">
        <f>IF(VLOOKUP($A26, Κανονικοποίηση!$A$2:$K$8, 7, 0) - VLOOKUP($B26, Κανονικοποίηση!$A$2:$K$8, 7, 0) &lt;= 0, 0, IF(VLOOKUP($A26, Κανονικοποίηση!$A$2:$K$8, 7, 0) - VLOOKUP($B26, Κανονικοποίηση!$A$2:$K$8, 7, 0) &gt;= $D$7, 1, (VLOOKUP($A26, Κανονικοποίηση!$A$2:$K$8, 7, 0) - VLOOKUP($B26, Κανονικοποίηση!$A$2:$K$8, 7, 0)) / $D$7))</f>
        <v>0</v>
      </c>
      <c r="I26" s="35">
        <f>IF(VLOOKUP($A26, Κανονικοποίηση!$A$2:$K$8, 8, 0) - VLOOKUP($B26, Κανονικοποίηση!$A$2:$K$8, 8, 0) &gt; 0, 1, 0)</f>
        <v>1</v>
      </c>
      <c r="J26" s="35">
        <f>IF(VLOOKUP($A26, Κανονικοποίηση!$A$2:$K$8, 9, 0) - VLOOKUP($B26, Κανονικοποίηση!$A$2:$K$8, 9, 0) &gt; 0, 1, 0)</f>
        <v>0</v>
      </c>
      <c r="K26" s="35">
        <f>IF(VLOOKUP($A26, Κανονικοποίηση!$A$2:$K$8, 10, 0) - VLOOKUP($B26, Κανονικοποίηση!$A$2:$K$8, 10, 0) &gt; 0, 1, 0)</f>
        <v>0</v>
      </c>
      <c r="L26" s="36">
        <f>IF(VLOOKUP($A26, Κανονικοποίηση!$A$2:$K$8, 11, 0) - VLOOKUP($B26, Κανονικοποίηση!$A$2:$K$8, 11, 0) &gt; 0, 1, 0)</f>
        <v>1</v>
      </c>
      <c r="M26" s="41" cm="1">
        <f t="array" ref="M26">SUMPRODUCT(C26:L26, TRANSPOSE(Βάρη!$E$2:$E$11))</f>
        <v>0.34760000000000002</v>
      </c>
      <c r="N26" s="25" cm="1">
        <f t="array" ref="N26">SUMPRODUCT(C26:L26, TRANSPOSE(Βάρη!$C$2:$C$11))</f>
        <v>0.25454545454545452</v>
      </c>
      <c r="O26" s="25" cm="1">
        <f t="array" ref="O26">SUMPRODUCT(C26:L26, TRANSPOSE(Βάρη!$F$2:$F$11))</f>
        <v>0.27272727272727271</v>
      </c>
      <c r="P26" s="41" cm="1">
        <f t="array" ref="P26">SUMPRODUCT(C26:L26, TRANSPOSE(Σύνοψη!$J$3:$J$12))</f>
        <v>0.98806688601859505</v>
      </c>
      <c r="Q26" s="25" cm="1">
        <f t="array" ref="Q26">SUMPRODUCT(C26:L26, TRANSPOSE(Βάρη!$D$2:$D$11))</f>
        <v>0.41823601138057181</v>
      </c>
    </row>
    <row r="27" spans="1:17">
      <c r="A27" s="47" t="s">
        <v>12</v>
      </c>
      <c r="B27" s="47" t="s">
        <v>17</v>
      </c>
      <c r="C27" s="35">
        <f>IF(VLOOKUP($A27, Κανονικοποίηση!$A$2:$K$8, 2, 0) - VLOOKUP($B27, Κανονικοποίηση!$A$2:$K$8, 2, 0) &lt;= $C$2, 0, IF(VLOOKUP($A27, Κανονικοποίηση!$A$2:$K$8, 2, 0) - VLOOKUP($B27, Κανονικοποίηση!$A$2:$K$8, 2, 0) &gt;= $D$2, 1, (VLOOKUP($A27, Κανονικοποίηση!$A$2:$K$8, 2, 0) - VLOOKUP($B27, Κανονικοποίηση!$A$2:$K$8, 2, 0) - $C$2) / ($D$2 - $C$2)))</f>
        <v>0</v>
      </c>
      <c r="D27" s="35">
        <f>IF(VLOOKUP($A27, Κανονικοποίηση!$A$2:$K$8, 3, 0) - VLOOKUP($B27, Κανονικοποίηση!$A$2:$K$8, 3, 0) &gt; 0, 1, 0)</f>
        <v>1</v>
      </c>
      <c r="E27" s="35">
        <f>IF(VLOOKUP($A27, Κανονικοποίηση!$A$2:$K$8, 4, 0) - VLOOKUP($B27, Κανονικοποίηση!$A$2:$K$8, 4, 0) &gt; 0, 1, 0)</f>
        <v>0</v>
      </c>
      <c r="F27" s="35">
        <f>IF(VLOOKUP($A27, Κανονικοποίηση!$A$2:$K$8, 5, 0) - VLOOKUP($B27, Κανονικοποίηση!$A$2:$K$8, 5, 0) &gt; $C$5, 1, 0)</f>
        <v>1</v>
      </c>
      <c r="G27" s="35">
        <f>IF(VLOOKUP($A27, Κανονικοποίηση!$A$2:$K$8, 6, 0) - VLOOKUP($B27, Κανονικοποίηση!$A$2:$K$8, 6, 0) &gt; 0, 1, 0)</f>
        <v>0</v>
      </c>
      <c r="H27" s="35">
        <f>IF(VLOOKUP($A27, Κανονικοποίηση!$A$2:$K$8, 7, 0) - VLOOKUP($B27, Κανονικοποίηση!$A$2:$K$8, 7, 0) &lt;= 0, 0, IF(VLOOKUP($A27, Κανονικοποίηση!$A$2:$K$8, 7, 0) - VLOOKUP($B27, Κανονικοποίηση!$A$2:$K$8, 7, 0) &gt;= $D$7, 1, (VLOOKUP($A27, Κανονικοποίηση!$A$2:$K$8, 7, 0) - VLOOKUP($B27, Κανονικοποίηση!$A$2:$K$8, 7, 0)) / $D$7))</f>
        <v>0</v>
      </c>
      <c r="I27" s="35">
        <f>IF(VLOOKUP($A27, Κανονικοποίηση!$A$2:$K$8, 8, 0) - VLOOKUP($B27, Κανονικοποίηση!$A$2:$K$8, 8, 0) &gt; 0, 1, 0)</f>
        <v>1</v>
      </c>
      <c r="J27" s="35">
        <f>IF(VLOOKUP($A27, Κανονικοποίηση!$A$2:$K$8, 9, 0) - VLOOKUP($B27, Κανονικοποίηση!$A$2:$K$8, 9, 0) &gt; 0, 1, 0)</f>
        <v>1</v>
      </c>
      <c r="K27" s="35">
        <f>IF(VLOOKUP($A27, Κανονικοποίηση!$A$2:$K$8, 10, 0) - VLOOKUP($B27, Κανονικοποίηση!$A$2:$K$8, 10, 0) &gt; 0, 1, 0)</f>
        <v>1</v>
      </c>
      <c r="L27" s="36">
        <f>IF(VLOOKUP($A27, Κανονικοποίηση!$A$2:$K$8, 11, 0) - VLOOKUP($B27, Κανονικοποίηση!$A$2:$K$8, 11, 0) &gt; 0, 1, 0)</f>
        <v>1</v>
      </c>
      <c r="M27" s="41" cm="1">
        <f t="array" ref="M27">SUMPRODUCT(C27:L27, TRANSPOSE(Βάρη!$E$2:$E$11))</f>
        <v>0.39</v>
      </c>
      <c r="N27" s="25" cm="1">
        <f t="array" ref="N27">SUMPRODUCT(C27:L27, TRANSPOSE(Βάρη!$C$2:$C$11))</f>
        <v>0.45454545454545453</v>
      </c>
      <c r="O27" s="25" cm="1">
        <f t="array" ref="O27">SUMPRODUCT(C27:L27, TRANSPOSE(Βάρη!$F$2:$F$11))</f>
        <v>0.47272727272727277</v>
      </c>
      <c r="P27" s="41" cm="1">
        <f t="array" ref="P27">SUMPRODUCT(C27:L27, TRANSPOSE(Σύνοψη!$J$3:$J$12))</f>
        <v>1.5231039316464732</v>
      </c>
      <c r="Q27" s="25" cm="1">
        <f t="array" ref="Q27">SUMPRODUCT(C27:L27, TRANSPOSE(Βάρη!$D$2:$D$11))</f>
        <v>0.4025199837420404</v>
      </c>
    </row>
    <row r="28" spans="1:17">
      <c r="A28" s="47" t="s">
        <v>13</v>
      </c>
      <c r="B28" s="47" t="s">
        <v>11</v>
      </c>
      <c r="C28" s="35">
        <f>IF(VLOOKUP($A28, Κανονικοποίηση!$A$2:$K$8, 2, 0) - VLOOKUP($B28, Κανονικοποίηση!$A$2:$K$8, 2, 0) &lt;= $C$2, 0, IF(VLOOKUP($A28, Κανονικοποίηση!$A$2:$K$8, 2, 0) - VLOOKUP($B28, Κανονικοποίηση!$A$2:$K$8, 2, 0) &gt;= $D$2, 1, (VLOOKUP($A28, Κανονικοποίηση!$A$2:$K$8, 2, 0) - VLOOKUP($B28, Κανονικοποίηση!$A$2:$K$8, 2, 0) - $C$2) / ($D$2 - $C$2)))</f>
        <v>1</v>
      </c>
      <c r="D28" s="35">
        <f>IF(VLOOKUP($A28, Κανονικοποίηση!$A$2:$K$8, 3, 0) - VLOOKUP($B28, Κανονικοποίηση!$A$2:$K$8, 3, 0) &gt; 0, 1, 0)</f>
        <v>0</v>
      </c>
      <c r="E28" s="35">
        <f>IF(VLOOKUP($A28, Κανονικοποίηση!$A$2:$K$8, 4, 0) - VLOOKUP($B28, Κανονικοποίηση!$A$2:$K$8, 4, 0) &gt; 0, 1, 0)</f>
        <v>0</v>
      </c>
      <c r="F28" s="35">
        <f>IF(VLOOKUP($A28, Κανονικοποίηση!$A$2:$K$8, 5, 0) - VLOOKUP($B28, Κανονικοποίηση!$A$2:$K$8, 5, 0) &gt; $C$5, 1, 0)</f>
        <v>0</v>
      </c>
      <c r="G28" s="35">
        <f>IF(VLOOKUP($A28, Κανονικοποίηση!$A$2:$K$8, 6, 0) - VLOOKUP($B28, Κανονικοποίηση!$A$2:$K$8, 6, 0) &gt; 0, 1, 0)</f>
        <v>1</v>
      </c>
      <c r="H28" s="35">
        <f>IF(VLOOKUP($A28, Κανονικοποίηση!$A$2:$K$8, 7, 0) - VLOOKUP($B28, Κανονικοποίηση!$A$2:$K$8, 7, 0) &lt;= 0, 0, IF(VLOOKUP($A28, Κανονικοποίηση!$A$2:$K$8, 7, 0) - VLOOKUP($B28, Κανονικοποίηση!$A$2:$K$8, 7, 0) &gt;= $D$7, 1, (VLOOKUP($A28, Κανονικοποίηση!$A$2:$K$8, 7, 0) - VLOOKUP($B28, Κανονικοποίηση!$A$2:$K$8, 7, 0)) / $D$7))</f>
        <v>0.24999999999999986</v>
      </c>
      <c r="I28" s="35">
        <f>IF(VLOOKUP($A28, Κανονικοποίηση!$A$2:$K$8, 8, 0) - VLOOKUP($B28, Κανονικοποίηση!$A$2:$K$8, 8, 0) &gt; 0, 1, 0)</f>
        <v>1</v>
      </c>
      <c r="J28" s="35">
        <f>IF(VLOOKUP($A28, Κανονικοποίηση!$A$2:$K$8, 9, 0) - VLOOKUP($B28, Κανονικοποίηση!$A$2:$K$8, 9, 0) &gt; 0, 1, 0)</f>
        <v>0</v>
      </c>
      <c r="K28" s="35">
        <f>IF(VLOOKUP($A28, Κανονικοποίηση!$A$2:$K$8, 10, 0) - VLOOKUP($B28, Κανονικοποίηση!$A$2:$K$8, 10, 0) &gt; 0, 1, 0)</f>
        <v>0</v>
      </c>
      <c r="L28" s="36">
        <f>IF(VLOOKUP($A28, Κανονικοποίηση!$A$2:$K$8, 11, 0) - VLOOKUP($B28, Κανονικοποίηση!$A$2:$K$8, 11, 0) &gt; 0, 1, 0)</f>
        <v>1</v>
      </c>
      <c r="M28" s="41" cm="1">
        <f t="array" ref="M28">SUMPRODUCT(C28:L28, TRANSPOSE(Βάρη!$E$2:$E$11))</f>
        <v>0.43959999999999999</v>
      </c>
      <c r="N28" s="25" cm="1">
        <f t="array" ref="N28">SUMPRODUCT(C28:L28, TRANSPOSE(Βάρη!$C$2:$C$11))</f>
        <v>0.37727272727272726</v>
      </c>
      <c r="O28" s="25" cm="1">
        <f t="array" ref="O28">SUMPRODUCT(C28:L28, TRANSPOSE(Βάρη!$F$2:$F$11))</f>
        <v>0.40454545454545454</v>
      </c>
      <c r="P28" s="41" cm="1">
        <f t="array" ref="P28">SUMPRODUCT(C28:L28, TRANSPOSE(Σύνοψη!$J$3:$J$12))</f>
        <v>1.5088548683228333</v>
      </c>
      <c r="Q28" s="25" cm="1">
        <f t="array" ref="Q28">SUMPRODUCT(C28:L28, TRANSPOSE(Βάρη!$D$2:$D$11))</f>
        <v>0.4964774420810189</v>
      </c>
    </row>
    <row r="29" spans="1:17">
      <c r="A29" s="47" t="s">
        <v>13</v>
      </c>
      <c r="B29" s="47" t="s">
        <v>12</v>
      </c>
      <c r="C29" s="35">
        <f>IF(VLOOKUP($A29, Κανονικοποίηση!$A$2:$K$8, 2, 0) - VLOOKUP($B29, Κανονικοποίηση!$A$2:$K$8, 2, 0) &lt;= $C$2, 0, IF(VLOOKUP($A29, Κανονικοποίηση!$A$2:$K$8, 2, 0) - VLOOKUP($B29, Κανονικοποίηση!$A$2:$K$8, 2, 0) &gt;= $D$2, 1, (VLOOKUP($A29, Κανονικοποίηση!$A$2:$K$8, 2, 0) - VLOOKUP($B29, Κανονικοποίηση!$A$2:$K$8, 2, 0) - $C$2) / ($D$2 - $C$2)))</f>
        <v>0</v>
      </c>
      <c r="D29" s="35">
        <f>IF(VLOOKUP($A29, Κανονικοποίηση!$A$2:$K$8, 3, 0) - VLOOKUP($B29, Κανονικοποίηση!$A$2:$K$8, 3, 0) &gt; 0, 1, 0)</f>
        <v>1</v>
      </c>
      <c r="E29" s="35">
        <f>IF(VLOOKUP($A29, Κανονικοποίηση!$A$2:$K$8, 4, 0) - VLOOKUP($B29, Κανονικοποίηση!$A$2:$K$8, 4, 0) &gt; 0, 1, 0)</f>
        <v>1</v>
      </c>
      <c r="F29" s="35">
        <f>IF(VLOOKUP($A29, Κανονικοποίηση!$A$2:$K$8, 5, 0) - VLOOKUP($B29, Κανονικοποίηση!$A$2:$K$8, 5, 0) &gt; $C$5, 1, 0)</f>
        <v>0</v>
      </c>
      <c r="G29" s="35">
        <f>IF(VLOOKUP($A29, Κανονικοποίηση!$A$2:$K$8, 6, 0) - VLOOKUP($B29, Κανονικοποίηση!$A$2:$K$8, 6, 0) &gt; 0, 1, 0)</f>
        <v>1</v>
      </c>
      <c r="H29" s="35">
        <f>IF(VLOOKUP($A29, Κανονικοποίηση!$A$2:$K$8, 7, 0) - VLOOKUP($B29, Κανονικοποίηση!$A$2:$K$8, 7, 0) &lt;= 0, 0, IF(VLOOKUP($A29, Κανονικοποίηση!$A$2:$K$8, 7, 0) - VLOOKUP($B29, Κανονικοποίηση!$A$2:$K$8, 7, 0) &gt;= $D$7, 1, (VLOOKUP($A29, Κανονικοποίηση!$A$2:$K$8, 7, 0) - VLOOKUP($B29, Κανονικοποίηση!$A$2:$K$8, 7, 0)) / $D$7))</f>
        <v>1</v>
      </c>
      <c r="I29" s="35">
        <f>IF(VLOOKUP($A29, Κανονικοποίηση!$A$2:$K$8, 8, 0) - VLOOKUP($B29, Κανονικοποίηση!$A$2:$K$8, 8, 0) &gt; 0, 1, 0)</f>
        <v>0</v>
      </c>
      <c r="J29" s="35">
        <f>IF(VLOOKUP($A29, Κανονικοποίηση!$A$2:$K$8, 9, 0) - VLOOKUP($B29, Κανονικοποίηση!$A$2:$K$8, 9, 0) &gt; 0, 1, 0)</f>
        <v>0</v>
      </c>
      <c r="K29" s="35">
        <f>IF(VLOOKUP($A29, Κανονικοποίηση!$A$2:$K$8, 10, 0) - VLOOKUP($B29, Κανονικοποίηση!$A$2:$K$8, 10, 0) &gt; 0, 1, 0)</f>
        <v>0</v>
      </c>
      <c r="L29" s="36">
        <f>IF(VLOOKUP($A29, Κανονικοποίηση!$A$2:$K$8, 11, 0) - VLOOKUP($B29, Κανονικοποίηση!$A$2:$K$8, 11, 0) &gt; 0, 1, 0)</f>
        <v>0</v>
      </c>
      <c r="M29" s="41" cm="1">
        <f t="array" ref="M29">SUMPRODUCT(C29:L29, TRANSPOSE(Βάρη!$E$2:$E$11))</f>
        <v>0.51</v>
      </c>
      <c r="N29" s="25" cm="1">
        <f t="array" ref="N29">SUMPRODUCT(C29:L29, TRANSPOSE(Βάρη!$C$2:$C$11))</f>
        <v>0.52727272727272734</v>
      </c>
      <c r="O29" s="25" cm="1">
        <f t="array" ref="O29">SUMPRODUCT(C29:L29, TRANSPOSE(Βάρη!$F$2:$F$11))</f>
        <v>0.50909090909090904</v>
      </c>
      <c r="P29" s="41" cm="1">
        <f t="array" ref="P29">SUMPRODUCT(C29:L29, TRANSPOSE(Σύνοψη!$J$3:$J$12))</f>
        <v>2.0289883376921596</v>
      </c>
      <c r="Q29" s="25" cm="1">
        <f t="array" ref="Q29">SUMPRODUCT(C29:L29, TRANSPOSE(Βάρη!$D$2:$D$11))</f>
        <v>0.42677144018425694</v>
      </c>
    </row>
    <row r="30" spans="1:17">
      <c r="A30" s="47" t="s">
        <v>13</v>
      </c>
      <c r="B30" s="47" t="s">
        <v>14</v>
      </c>
      <c r="C30" s="35">
        <f>IF(VLOOKUP($A30, Κανονικοποίηση!$A$2:$K$8, 2, 0) - VLOOKUP($B30, Κανονικοποίηση!$A$2:$K$8, 2, 0) &lt;= $C$2, 0, IF(VLOOKUP($A30, Κανονικοποίηση!$A$2:$K$8, 2, 0) - VLOOKUP($B30, Κανονικοποίηση!$A$2:$K$8, 2, 0) &gt;= $D$2, 1, (VLOOKUP($A30, Κανονικοποίηση!$A$2:$K$8, 2, 0) - VLOOKUP($B30, Κανονικοποίηση!$A$2:$K$8, 2, 0) - $C$2) / ($D$2 - $C$2)))</f>
        <v>1</v>
      </c>
      <c r="D30" s="35">
        <f>IF(VLOOKUP($A30, Κανονικοποίηση!$A$2:$K$8, 3, 0) - VLOOKUP($B30, Κανονικοποίηση!$A$2:$K$8, 3, 0) &gt; 0, 1, 0)</f>
        <v>0</v>
      </c>
      <c r="E30" s="35">
        <f>IF(VLOOKUP($A30, Κανονικοποίηση!$A$2:$K$8, 4, 0) - VLOOKUP($B30, Κανονικοποίηση!$A$2:$K$8, 4, 0) &gt; 0, 1, 0)</f>
        <v>0</v>
      </c>
      <c r="F30" s="35">
        <f>IF(VLOOKUP($A30, Κανονικοποίηση!$A$2:$K$8, 5, 0) - VLOOKUP($B30, Κανονικοποίηση!$A$2:$K$8, 5, 0) &gt; $C$5, 1, 0)</f>
        <v>0</v>
      </c>
      <c r="G30" s="35">
        <f>IF(VLOOKUP($A30, Κανονικοποίηση!$A$2:$K$8, 6, 0) - VLOOKUP($B30, Κανονικοποίηση!$A$2:$K$8, 6, 0) &gt; 0, 1, 0)</f>
        <v>0</v>
      </c>
      <c r="H30" s="35">
        <f>IF(VLOOKUP($A30, Κανονικοποίηση!$A$2:$K$8, 7, 0) - VLOOKUP($B30, Κανονικοποίηση!$A$2:$K$8, 7, 0) &lt;= 0, 0, IF(VLOOKUP($A30, Κανονικοποίηση!$A$2:$K$8, 7, 0) - VLOOKUP($B30, Κανονικοποίηση!$A$2:$K$8, 7, 0) &gt;= $D$7, 1, (VLOOKUP($A30, Κανονικοποίηση!$A$2:$K$8, 7, 0) - VLOOKUP($B30, Κανονικοποίηση!$A$2:$K$8, 7, 0)) / $D$7))</f>
        <v>1</v>
      </c>
      <c r="I30" s="35">
        <f>IF(VLOOKUP($A30, Κανονικοποίηση!$A$2:$K$8, 8, 0) - VLOOKUP($B30, Κανονικοποίηση!$A$2:$K$8, 8, 0) &gt; 0, 1, 0)</f>
        <v>1</v>
      </c>
      <c r="J30" s="35">
        <f>IF(VLOOKUP($A30, Κανονικοποίηση!$A$2:$K$8, 9, 0) - VLOOKUP($B30, Κανονικοποίηση!$A$2:$K$8, 9, 0) &gt; 0, 1, 0)</f>
        <v>0</v>
      </c>
      <c r="K30" s="35">
        <f>IF(VLOOKUP($A30, Κανονικοποίηση!$A$2:$K$8, 10, 0) - VLOOKUP($B30, Κανονικοποίηση!$A$2:$K$8, 10, 0) &gt; 0, 1, 0)</f>
        <v>1</v>
      </c>
      <c r="L30" s="36">
        <f>IF(VLOOKUP($A30, Κανονικοποίηση!$A$2:$K$8, 11, 0) - VLOOKUP($B30, Κανονικοποίηση!$A$2:$K$8, 11, 0) &gt; 0, 1, 0)</f>
        <v>0</v>
      </c>
      <c r="M30" s="41" cm="1">
        <f t="array" ref="M30">SUMPRODUCT(C30:L30, TRANSPOSE(Βάρη!$E$2:$E$11))</f>
        <v>0.44600000000000001</v>
      </c>
      <c r="N30" s="25" cm="1">
        <f t="array" ref="N30">SUMPRODUCT(C30:L30, TRANSPOSE(Βάρη!$C$2:$C$11))</f>
        <v>0.4</v>
      </c>
      <c r="O30" s="25" cm="1">
        <f t="array" ref="O30">SUMPRODUCT(C30:L30, TRANSPOSE(Βάρη!$F$2:$F$11))</f>
        <v>0.38181818181818183</v>
      </c>
      <c r="P30" s="41" cm="1">
        <f t="array" ref="P30">SUMPRODUCT(C30:L30, TRANSPOSE(Σύνοψη!$J$3:$J$12))</f>
        <v>1.5958651893950766</v>
      </c>
      <c r="Q30" s="25" cm="1">
        <f t="array" ref="Q30">SUMPRODUCT(C30:L30, TRANSPOSE(Βάρη!$D$2:$D$11))</f>
        <v>0.50738382333017218</v>
      </c>
    </row>
    <row r="31" spans="1:17">
      <c r="A31" s="47" t="s">
        <v>13</v>
      </c>
      <c r="B31" s="47" t="s">
        <v>15</v>
      </c>
      <c r="C31" s="35">
        <f>IF(VLOOKUP($A31, Κανονικοποίηση!$A$2:$K$8, 2, 0) - VLOOKUP($B31, Κανονικοποίηση!$A$2:$K$8, 2, 0) &lt;= $C$2, 0, IF(VLOOKUP($A31, Κανονικοποίηση!$A$2:$K$8, 2, 0) - VLOOKUP($B31, Κανονικοποίηση!$A$2:$K$8, 2, 0) &gt;= $D$2, 1, (VLOOKUP($A31, Κανονικοποίηση!$A$2:$K$8, 2, 0) - VLOOKUP($B31, Κανονικοποίηση!$A$2:$K$8, 2, 0) - $C$2) / ($D$2 - $C$2)))</f>
        <v>0</v>
      </c>
      <c r="D31" s="35">
        <f>IF(VLOOKUP($A31, Κανονικοποίηση!$A$2:$K$8, 3, 0) - VLOOKUP($B31, Κανονικοποίηση!$A$2:$K$8, 3, 0) &gt; 0, 1, 0)</f>
        <v>1</v>
      </c>
      <c r="E31" s="35">
        <f>IF(VLOOKUP($A31, Κανονικοποίηση!$A$2:$K$8, 4, 0) - VLOOKUP($B31, Κανονικοποίηση!$A$2:$K$8, 4, 0) &gt; 0, 1, 0)</f>
        <v>1</v>
      </c>
      <c r="F31" s="35">
        <f>IF(VLOOKUP($A31, Κανονικοποίηση!$A$2:$K$8, 5, 0) - VLOOKUP($B31, Κανονικοποίηση!$A$2:$K$8, 5, 0) &gt; $C$5, 1, 0)</f>
        <v>0</v>
      </c>
      <c r="G31" s="35">
        <f>IF(VLOOKUP($A31, Κανονικοποίηση!$A$2:$K$8, 6, 0) - VLOOKUP($B31, Κανονικοποίηση!$A$2:$K$8, 6, 0) &gt; 0, 1, 0)</f>
        <v>1</v>
      </c>
      <c r="H31" s="35">
        <f>IF(VLOOKUP($A31, Κανονικοποίηση!$A$2:$K$8, 7, 0) - VLOOKUP($B31, Κανονικοποίηση!$A$2:$K$8, 7, 0) &lt;= 0, 0, IF(VLOOKUP($A31, Κανονικοποίηση!$A$2:$K$8, 7, 0) - VLOOKUP($B31, Κανονικοποίηση!$A$2:$K$8, 7, 0) &gt;= $D$7, 1, (VLOOKUP($A31, Κανονικοποίηση!$A$2:$K$8, 7, 0) - VLOOKUP($B31, Κανονικοποίηση!$A$2:$K$8, 7, 0)) / $D$7))</f>
        <v>0</v>
      </c>
      <c r="I31" s="35">
        <f>IF(VLOOKUP($A31, Κανονικοποίηση!$A$2:$K$8, 8, 0) - VLOOKUP($B31, Κανονικοποίηση!$A$2:$K$8, 8, 0) &gt; 0, 1, 0)</f>
        <v>0</v>
      </c>
      <c r="J31" s="35">
        <f>IF(VLOOKUP($A31, Κανονικοποίηση!$A$2:$K$8, 9, 0) - VLOOKUP($B31, Κανονικοποίηση!$A$2:$K$8, 9, 0) &gt; 0, 1, 0)</f>
        <v>1</v>
      </c>
      <c r="K31" s="35">
        <f>IF(VLOOKUP($A31, Κανονικοποίηση!$A$2:$K$8, 10, 0) - VLOOKUP($B31, Κανονικοποίηση!$A$2:$K$8, 10, 0) &gt; 0, 1, 0)</f>
        <v>1</v>
      </c>
      <c r="L31" s="36">
        <f>IF(VLOOKUP($A31, Κανονικοποίηση!$A$2:$K$8, 11, 0) - VLOOKUP($B31, Κανονικοποίηση!$A$2:$K$8, 11, 0) &gt; 0, 1, 0)</f>
        <v>1</v>
      </c>
      <c r="M31" s="41" cm="1">
        <f t="array" ref="M31">SUMPRODUCT(C31:L31, TRANSPOSE(Βάρη!$E$2:$E$11))</f>
        <v>0.51600000000000001</v>
      </c>
      <c r="N31" s="25" cm="1">
        <f t="array" ref="N31">SUMPRODUCT(C31:L31, TRANSPOSE(Βάρη!$C$2:$C$11))</f>
        <v>0.56363636363636371</v>
      </c>
      <c r="O31" s="25" cm="1">
        <f t="array" ref="O31">SUMPRODUCT(C31:L31, TRANSPOSE(Βάρη!$F$2:$F$11))</f>
        <v>0.52727272727272723</v>
      </c>
      <c r="P31" s="41" cm="1">
        <f t="array" ref="P31">SUMPRODUCT(C31:L31, TRANSPOSE(Σύνοψη!$J$3:$J$12))</f>
        <v>1.4211900343156778</v>
      </c>
      <c r="Q31" s="25" cm="1">
        <f t="array" ref="Q31">SUMPRODUCT(C31:L31, TRANSPOSE(Βάρη!$D$2:$D$11))</f>
        <v>0.48177753691911668</v>
      </c>
    </row>
    <row r="32" spans="1:17">
      <c r="A32" s="47" t="s">
        <v>13</v>
      </c>
      <c r="B32" s="47" t="s">
        <v>16</v>
      </c>
      <c r="C32" s="35">
        <f>IF(VLOOKUP($A32, Κανονικοποίηση!$A$2:$K$8, 2, 0) - VLOOKUP($B32, Κανονικοποίηση!$A$2:$K$8, 2, 0) &lt;= $C$2, 0, IF(VLOOKUP($A32, Κανονικοποίηση!$A$2:$K$8, 2, 0) - VLOOKUP($B32, Κανονικοποίηση!$A$2:$K$8, 2, 0) &gt;= $D$2, 1, (VLOOKUP($A32, Κανονικοποίηση!$A$2:$K$8, 2, 0) - VLOOKUP($B32, Κανονικοποίηση!$A$2:$K$8, 2, 0) - $C$2) / ($D$2 - $C$2)))</f>
        <v>1</v>
      </c>
      <c r="D32" s="35">
        <f>IF(VLOOKUP($A32, Κανονικοποίηση!$A$2:$K$8, 3, 0) - VLOOKUP($B32, Κανονικοποίηση!$A$2:$K$8, 3, 0) &gt; 0, 1, 0)</f>
        <v>0</v>
      </c>
      <c r="E32" s="35">
        <f>IF(VLOOKUP($A32, Κανονικοποίηση!$A$2:$K$8, 4, 0) - VLOOKUP($B32, Κανονικοποίηση!$A$2:$K$8, 4, 0) &gt; 0, 1, 0)</f>
        <v>0</v>
      </c>
      <c r="F32" s="35">
        <f>IF(VLOOKUP($A32, Κανονικοποίηση!$A$2:$K$8, 5, 0) - VLOOKUP($B32, Κανονικοποίηση!$A$2:$K$8, 5, 0) &gt; $C$5, 1, 0)</f>
        <v>0</v>
      </c>
      <c r="G32" s="35">
        <f>IF(VLOOKUP($A32, Κανονικοποίηση!$A$2:$K$8, 6, 0) - VLOOKUP($B32, Κανονικοποίηση!$A$2:$K$8, 6, 0) &gt; 0, 1, 0)</f>
        <v>0</v>
      </c>
      <c r="H32" s="35">
        <f>IF(VLOOKUP($A32, Κανονικοποίηση!$A$2:$K$8, 7, 0) - VLOOKUP($B32, Κανονικοποίηση!$A$2:$K$8, 7, 0) &lt;= 0, 0, IF(VLOOKUP($A32, Κανονικοποίηση!$A$2:$K$8, 7, 0) - VLOOKUP($B32, Κανονικοποίηση!$A$2:$K$8, 7, 0) &gt;= $D$7, 1, (VLOOKUP($A32, Κανονικοποίηση!$A$2:$K$8, 7, 0) - VLOOKUP($B32, Κανονικοποίηση!$A$2:$K$8, 7, 0)) / $D$7))</f>
        <v>1</v>
      </c>
      <c r="I32" s="35">
        <f>IF(VLOOKUP($A32, Κανονικοποίηση!$A$2:$K$8, 8, 0) - VLOOKUP($B32, Κανονικοποίηση!$A$2:$K$8, 8, 0) &gt; 0, 1, 0)</f>
        <v>1</v>
      </c>
      <c r="J32" s="35">
        <f>IF(VLOOKUP($A32, Κανονικοποίηση!$A$2:$K$8, 9, 0) - VLOOKUP($B32, Κανονικοποίηση!$A$2:$K$8, 9, 0) &gt; 0, 1, 0)</f>
        <v>0</v>
      </c>
      <c r="K32" s="35">
        <f>IF(VLOOKUP($A32, Κανονικοποίηση!$A$2:$K$8, 10, 0) - VLOOKUP($B32, Κανονικοποίηση!$A$2:$K$8, 10, 0) &gt; 0, 1, 0)</f>
        <v>0</v>
      </c>
      <c r="L32" s="36">
        <f>IF(VLOOKUP($A32, Κανονικοποίηση!$A$2:$K$8, 11, 0) - VLOOKUP($B32, Κανονικοποίηση!$A$2:$K$8, 11, 0) &gt; 0, 1, 0)</f>
        <v>1</v>
      </c>
      <c r="M32" s="41" cm="1">
        <f t="array" ref="M32">SUMPRODUCT(C32:L32, TRANSPOSE(Βάρη!$E$2:$E$11))</f>
        <v>0.4572</v>
      </c>
      <c r="N32" s="25" cm="1">
        <f t="array" ref="N32">SUMPRODUCT(C32:L32, TRANSPOSE(Βάρη!$C$2:$C$11))</f>
        <v>0.38181818181818183</v>
      </c>
      <c r="O32" s="25" cm="1">
        <f t="array" ref="O32">SUMPRODUCT(C32:L32, TRANSPOSE(Βάρη!$F$2:$F$11))</f>
        <v>0.36363636363636365</v>
      </c>
      <c r="P32" s="41" cm="1">
        <f t="array" ref="P32">SUMPRODUCT(C32:L32, TRANSPOSE(Σύνοψη!$J$3:$J$12))</f>
        <v>1.5958651893950766</v>
      </c>
      <c r="Q32" s="25" cm="1">
        <f t="array" ref="Q32">SUMPRODUCT(C32:L32, TRANSPOSE(Βάρη!$D$2:$D$11))</f>
        <v>0.50359029941742317</v>
      </c>
    </row>
    <row r="33" spans="1:17">
      <c r="A33" s="47" t="s">
        <v>13</v>
      </c>
      <c r="B33" s="47" t="s">
        <v>17</v>
      </c>
      <c r="C33" s="35">
        <f>IF(VLOOKUP($A33, Κανονικοποίηση!$A$2:$K$8, 2, 0) - VLOOKUP($B33, Κανονικοποίηση!$A$2:$K$8, 2, 0) &lt;= $C$2, 0, IF(VLOOKUP($A33, Κανονικοποίηση!$A$2:$K$8, 2, 0) - VLOOKUP($B33, Κανονικοποίηση!$A$2:$K$8, 2, 0) &gt;= $D$2, 1, (VLOOKUP($A33, Κανονικοποίηση!$A$2:$K$8, 2, 0) - VLOOKUP($B33, Κανονικοποίηση!$A$2:$K$8, 2, 0) - $C$2) / ($D$2 - $C$2)))</f>
        <v>0</v>
      </c>
      <c r="D33" s="35">
        <f>IF(VLOOKUP($A33, Κανονικοποίηση!$A$2:$K$8, 3, 0) - VLOOKUP($B33, Κανονικοποίηση!$A$2:$K$8, 3, 0) &gt; 0, 1, 0)</f>
        <v>1</v>
      </c>
      <c r="E33" s="35">
        <f>IF(VLOOKUP($A33, Κανονικοποίηση!$A$2:$K$8, 4, 0) - VLOOKUP($B33, Κανονικοποίηση!$A$2:$K$8, 4, 0) &gt; 0, 1, 0)</f>
        <v>1</v>
      </c>
      <c r="F33" s="35">
        <f>IF(VLOOKUP($A33, Κανονικοποίηση!$A$2:$K$8, 5, 0) - VLOOKUP($B33, Κανονικοποίηση!$A$2:$K$8, 5, 0) &gt; $C$5, 1, 0)</f>
        <v>0</v>
      </c>
      <c r="G33" s="35">
        <f>IF(VLOOKUP($A33, Κανονικοποίηση!$A$2:$K$8, 6, 0) - VLOOKUP($B33, Κανονικοποίηση!$A$2:$K$8, 6, 0) &gt; 0, 1, 0)</f>
        <v>1</v>
      </c>
      <c r="H33" s="35">
        <f>IF(VLOOKUP($A33, Κανονικοποίηση!$A$2:$K$8, 7, 0) - VLOOKUP($B33, Κανονικοποίηση!$A$2:$K$8, 7, 0) &lt;= 0, 0, IF(VLOOKUP($A33, Κανονικοποίηση!$A$2:$K$8, 7, 0) - VLOOKUP($B33, Κανονικοποίηση!$A$2:$K$8, 7, 0) &gt;= $D$7, 1, (VLOOKUP($A33, Κανονικοποίηση!$A$2:$K$8, 7, 0) - VLOOKUP($B33, Κανονικοποίηση!$A$2:$K$8, 7, 0)) / $D$7))</f>
        <v>0</v>
      </c>
      <c r="I33" s="35">
        <f>IF(VLOOKUP($A33, Κανονικοποίηση!$A$2:$K$8, 8, 0) - VLOOKUP($B33, Κανονικοποίηση!$A$2:$K$8, 8, 0) &gt; 0, 1, 0)</f>
        <v>0</v>
      </c>
      <c r="J33" s="35">
        <f>IF(VLOOKUP($A33, Κανονικοποίηση!$A$2:$K$8, 9, 0) - VLOOKUP($B33, Κανονικοποίηση!$A$2:$K$8, 9, 0) &gt; 0, 1, 0)</f>
        <v>0</v>
      </c>
      <c r="K33" s="35">
        <f>IF(VLOOKUP($A33, Κανονικοποίηση!$A$2:$K$8, 10, 0) - VLOOKUP($B33, Κανονικοποίηση!$A$2:$K$8, 10, 0) &gt; 0, 1, 0)</f>
        <v>1</v>
      </c>
      <c r="L33" s="36">
        <f>IF(VLOOKUP($A33, Κανονικοποίηση!$A$2:$K$8, 11, 0) - VLOOKUP($B33, Κανονικοποίηση!$A$2:$K$8, 11, 0) &gt; 0, 1, 0)</f>
        <v>1</v>
      </c>
      <c r="M33" s="41" cm="1">
        <f t="array" ref="M33">SUMPRODUCT(C33:L33, TRANSPOSE(Βάρη!$E$2:$E$11))</f>
        <v>0.43140000000000001</v>
      </c>
      <c r="N33" s="25" cm="1">
        <f t="array" ref="N33">SUMPRODUCT(C33:L33, TRANSPOSE(Βάρη!$C$2:$C$11))</f>
        <v>0.45454545454545459</v>
      </c>
      <c r="O33" s="25" cm="1">
        <f t="array" ref="O33">SUMPRODUCT(C33:L33, TRANSPOSE(Βάρη!$F$2:$F$11))</f>
        <v>0.47272727272727272</v>
      </c>
      <c r="P33" s="41" cm="1">
        <f t="array" ref="P33">SUMPRODUCT(C33:L33, TRANSPOSE(Σύνοψη!$J$3:$J$12))</f>
        <v>1.4211900343156778</v>
      </c>
      <c r="Q33" s="25" cm="1">
        <f t="array" ref="Q33">SUMPRODUCT(C33:L33, TRANSPOSE(Βάρη!$D$2:$D$11))</f>
        <v>0.41349410648963564</v>
      </c>
    </row>
    <row r="34" spans="1:17">
      <c r="A34" s="47" t="s">
        <v>14</v>
      </c>
      <c r="B34" s="47" t="s">
        <v>11</v>
      </c>
      <c r="C34" s="35">
        <f>IF(VLOOKUP($A34, Κανονικοποίηση!$A$2:$K$8, 2, 0) - VLOOKUP($B34, Κανονικοποίηση!$A$2:$K$8, 2, 0) &lt;= $C$2, 0, IF(VLOOKUP($A34, Κανονικοποίηση!$A$2:$K$8, 2, 0) - VLOOKUP($B34, Κανονικοποίηση!$A$2:$K$8, 2, 0) &gt;= $D$2, 1, (VLOOKUP($A34, Κανονικοποίηση!$A$2:$K$8, 2, 0) - VLOOKUP($B34, Κανονικοποίηση!$A$2:$K$8, 2, 0) - $C$2) / ($D$2 - $C$2)))</f>
        <v>0</v>
      </c>
      <c r="D34" s="35">
        <f>IF(VLOOKUP($A34, Κανονικοποίηση!$A$2:$K$8, 3, 0) - VLOOKUP($B34, Κανονικοποίηση!$A$2:$K$8, 3, 0) &gt; 0, 1, 0)</f>
        <v>1</v>
      </c>
      <c r="E34" s="35">
        <f>IF(VLOOKUP($A34, Κανονικοποίηση!$A$2:$K$8, 4, 0) - VLOOKUP($B34, Κανονικοποίηση!$A$2:$K$8, 4, 0) &gt; 0, 1, 0)</f>
        <v>1</v>
      </c>
      <c r="F34" s="35">
        <f>IF(VLOOKUP($A34, Κανονικοποίηση!$A$2:$K$8, 5, 0) - VLOOKUP($B34, Κανονικοποίηση!$A$2:$K$8, 5, 0) &gt; $C$5, 1, 0)</f>
        <v>1</v>
      </c>
      <c r="G34" s="35">
        <f>IF(VLOOKUP($A34, Κανονικοποίηση!$A$2:$K$8, 6, 0) - VLOOKUP($B34, Κανονικοποίηση!$A$2:$K$8, 6, 0) &gt; 0, 1, 0)</f>
        <v>1</v>
      </c>
      <c r="H34" s="35">
        <f>IF(VLOOKUP($A34, Κανονικοποίηση!$A$2:$K$8, 7, 0) - VLOOKUP($B34, Κανονικοποίηση!$A$2:$K$8, 7, 0) &lt;= 0, 0, IF(VLOOKUP($A34, Κανονικοποίηση!$A$2:$K$8, 7, 0) - VLOOKUP($B34, Κανονικοποίηση!$A$2:$K$8, 7, 0) &gt;= $D$7, 1, (VLOOKUP($A34, Κανονικοποίηση!$A$2:$K$8, 7, 0) - VLOOKUP($B34, Κανονικοποίηση!$A$2:$K$8, 7, 0)) / $D$7))</f>
        <v>0</v>
      </c>
      <c r="I34" s="35">
        <f>IF(VLOOKUP($A34, Κανονικοποίηση!$A$2:$K$8, 8, 0) - VLOOKUP($B34, Κανονικοποίηση!$A$2:$K$8, 8, 0) &gt; 0, 1, 0)</f>
        <v>1</v>
      </c>
      <c r="J34" s="35">
        <f>IF(VLOOKUP($A34, Κανονικοποίηση!$A$2:$K$8, 9, 0) - VLOOKUP($B34, Κανονικοποίηση!$A$2:$K$8, 9, 0) &gt; 0, 1, 0)</f>
        <v>1</v>
      </c>
      <c r="K34" s="35">
        <f>IF(VLOOKUP($A34, Κανονικοποίηση!$A$2:$K$8, 10, 0) - VLOOKUP($B34, Κανονικοποίηση!$A$2:$K$8, 10, 0) &gt; 0, 1, 0)</f>
        <v>0</v>
      </c>
      <c r="L34" s="36">
        <f>IF(VLOOKUP($A34, Κανονικοποίηση!$A$2:$K$8, 11, 0) - VLOOKUP($B34, Κανονικοποίηση!$A$2:$K$8, 11, 0) &gt; 0, 1, 0)</f>
        <v>1</v>
      </c>
      <c r="M34" s="41" cm="1">
        <f t="array" ref="M34">SUMPRODUCT(C34:L34, TRANSPOSE(Βάρη!$E$2:$E$11))</f>
        <v>0.58760000000000001</v>
      </c>
      <c r="N34" s="25" cm="1">
        <f t="array" ref="N34">SUMPRODUCT(C34:L34, TRANSPOSE(Βάρη!$C$2:$C$11))</f>
        <v>0.65454545454545465</v>
      </c>
      <c r="O34" s="25" cm="1">
        <f t="array" ref="O34">SUMPRODUCT(C34:L34, TRANSPOSE(Βάρη!$F$2:$F$11))</f>
        <v>0.69090909090909092</v>
      </c>
      <c r="P34" s="41" cm="1">
        <f t="array" ref="P34">SUMPRODUCT(C34:L34, TRANSPOSE(Σύνοψη!$J$3:$J$12))</f>
        <v>2.4929734571191355</v>
      </c>
      <c r="Q34" s="25" cm="1">
        <f t="array" ref="Q34">SUMPRODUCT(C34:L34, TRANSPOSE(Βάρη!$D$2:$D$11))</f>
        <v>0.53529332068825364</v>
      </c>
    </row>
    <row r="35" spans="1:17">
      <c r="A35" s="47" t="s">
        <v>14</v>
      </c>
      <c r="B35" s="47" t="s">
        <v>12</v>
      </c>
      <c r="C35" s="35">
        <f>IF(VLOOKUP($A35, Κανονικοποίηση!$A$2:$K$8, 2, 0) - VLOOKUP($B35, Κανονικοποίηση!$A$2:$K$8, 2, 0) &lt;= $C$2, 0, IF(VLOOKUP($A35, Κανονικοποίηση!$A$2:$K$8, 2, 0) - VLOOKUP($B35, Κανονικοποίηση!$A$2:$K$8, 2, 0) &gt;= $D$2, 1, (VLOOKUP($A35, Κανονικοποίηση!$A$2:$K$8, 2, 0) - VLOOKUP($B35, Κανονικοποίηση!$A$2:$K$8, 2, 0) - $C$2) / ($D$2 - $C$2)))</f>
        <v>0</v>
      </c>
      <c r="D35" s="35">
        <f>IF(VLOOKUP($A35, Κανονικοποίηση!$A$2:$K$8, 3, 0) - VLOOKUP($B35, Κανονικοποίηση!$A$2:$K$8, 3, 0) &gt; 0, 1, 0)</f>
        <v>1</v>
      </c>
      <c r="E35" s="35">
        <f>IF(VLOOKUP($A35, Κανονικοποίηση!$A$2:$K$8, 4, 0) - VLOOKUP($B35, Κανονικοποίηση!$A$2:$K$8, 4, 0) &gt; 0, 1, 0)</f>
        <v>1</v>
      </c>
      <c r="F35" s="35">
        <f>IF(VLOOKUP($A35, Κανονικοποίηση!$A$2:$K$8, 5, 0) - VLOOKUP($B35, Κανονικοποίηση!$A$2:$K$8, 5, 0) &gt; $C$5, 1, 0)</f>
        <v>1</v>
      </c>
      <c r="G35" s="35">
        <f>IF(VLOOKUP($A35, Κανονικοποίηση!$A$2:$K$8, 6, 0) - VLOOKUP($B35, Κανονικοποίηση!$A$2:$K$8, 6, 0) &gt; 0, 1, 0)</f>
        <v>1</v>
      </c>
      <c r="H35" s="35">
        <f>IF(VLOOKUP($A35, Κανονικοποίηση!$A$2:$K$8, 7, 0) - VLOOKUP($B35, Κανονικοποίηση!$A$2:$K$8, 7, 0) &lt;= 0, 0, IF(VLOOKUP($A35, Κανονικοποίηση!$A$2:$K$8, 7, 0) - VLOOKUP($B35, Κανονικοποίηση!$A$2:$K$8, 7, 0) &gt;= $D$7, 1, (VLOOKUP($A35, Κανονικοποίηση!$A$2:$K$8, 7, 0) - VLOOKUP($B35, Κανονικοποίηση!$A$2:$K$8, 7, 0)) / $D$7))</f>
        <v>0</v>
      </c>
      <c r="I35" s="35">
        <f>IF(VLOOKUP($A35, Κανονικοποίηση!$A$2:$K$8, 8, 0) - VLOOKUP($B35, Κανονικοποίηση!$A$2:$K$8, 8, 0) &gt; 0, 1, 0)</f>
        <v>0</v>
      </c>
      <c r="J35" s="35">
        <f>IF(VLOOKUP($A35, Κανονικοποίηση!$A$2:$K$8, 9, 0) - VLOOKUP($B35, Κανονικοποίηση!$A$2:$K$8, 9, 0) &gt; 0, 1, 0)</f>
        <v>1</v>
      </c>
      <c r="K35" s="35">
        <f>IF(VLOOKUP($A35, Κανονικοποίηση!$A$2:$K$8, 10, 0) - VLOOKUP($B35, Κανονικοποίηση!$A$2:$K$8, 10, 0) &gt; 0, 1, 0)</f>
        <v>0</v>
      </c>
      <c r="L35" s="36">
        <f>IF(VLOOKUP($A35, Κανονικοποίηση!$A$2:$K$8, 11, 0) - VLOOKUP($B35, Κανονικοποίηση!$A$2:$K$8, 11, 0) &gt; 0, 1, 0)</f>
        <v>1</v>
      </c>
      <c r="M35" s="41" cm="1">
        <f t="array" ref="M35">SUMPRODUCT(C35:L35, TRANSPOSE(Βάρη!$E$2:$E$11))</f>
        <v>0.55399999999999994</v>
      </c>
      <c r="N35" s="25" cm="1">
        <f t="array" ref="N35">SUMPRODUCT(C35:L35, TRANSPOSE(Βάρη!$C$2:$C$11))</f>
        <v>0.60000000000000009</v>
      </c>
      <c r="O35" s="25" cm="1">
        <f t="array" ref="O35">SUMPRODUCT(C35:L35, TRANSPOSE(Βάρη!$F$2:$F$11))</f>
        <v>0.61818181818181817</v>
      </c>
      <c r="P35" s="41" cm="1">
        <f t="array" ref="P35">SUMPRODUCT(C35:L35, TRANSPOSE(Σύνοψη!$J$3:$J$12))</f>
        <v>2.0643812870639815</v>
      </c>
      <c r="Q35" s="25" cm="1">
        <f t="array" ref="Q35">SUMPRODUCT(C35:L35, TRANSPOSE(Βάρη!$D$2:$D$11))</f>
        <v>0.49261617666982799</v>
      </c>
    </row>
    <row r="36" spans="1:17">
      <c r="A36" s="47" t="s">
        <v>14</v>
      </c>
      <c r="B36" s="47" t="s">
        <v>13</v>
      </c>
      <c r="C36" s="35">
        <f>IF(VLOOKUP($A36, Κανονικοποίηση!$A$2:$K$8, 2, 0) - VLOOKUP($B36, Κανονικοποίηση!$A$2:$K$8, 2, 0) &lt;= $C$2, 0, IF(VLOOKUP($A36, Κανονικοποίηση!$A$2:$K$8, 2, 0) - VLOOKUP($B36, Κανονικοποίηση!$A$2:$K$8, 2, 0) &gt;= $D$2, 1, (VLOOKUP($A36, Κανονικοποίηση!$A$2:$K$8, 2, 0) - VLOOKUP($B36, Κανονικοποίηση!$A$2:$K$8, 2, 0) - $C$2) / ($D$2 - $C$2)))</f>
        <v>0</v>
      </c>
      <c r="D36" s="35">
        <f>IF(VLOOKUP($A36, Κανονικοποίηση!$A$2:$K$8, 3, 0) - VLOOKUP($B36, Κανονικοποίηση!$A$2:$K$8, 3, 0) &gt; 0, 1, 0)</f>
        <v>1</v>
      </c>
      <c r="E36" s="35">
        <f>IF(VLOOKUP($A36, Κανονικοποίηση!$A$2:$K$8, 4, 0) - VLOOKUP($B36, Κανονικοποίηση!$A$2:$K$8, 4, 0) &gt; 0, 1, 0)</f>
        <v>1</v>
      </c>
      <c r="F36" s="35">
        <f>IF(VLOOKUP($A36, Κανονικοποίηση!$A$2:$K$8, 5, 0) - VLOOKUP($B36, Κανονικοποίηση!$A$2:$K$8, 5, 0) &gt; $C$5, 1, 0)</f>
        <v>1</v>
      </c>
      <c r="G36" s="35">
        <f>IF(VLOOKUP($A36, Κανονικοποίηση!$A$2:$K$8, 6, 0) - VLOOKUP($B36, Κανονικοποίηση!$A$2:$K$8, 6, 0) &gt; 0, 1, 0)</f>
        <v>0</v>
      </c>
      <c r="H36" s="35">
        <f>IF(VLOOKUP($A36, Κανονικοποίηση!$A$2:$K$8, 7, 0) - VLOOKUP($B36, Κανονικοποίηση!$A$2:$K$8, 7, 0) &lt;= 0, 0, IF(VLOOKUP($A36, Κανονικοποίηση!$A$2:$K$8, 7, 0) - VLOOKUP($B36, Κανονικοποίηση!$A$2:$K$8, 7, 0) &gt;= $D$7, 1, (VLOOKUP($A36, Κανονικοποίηση!$A$2:$K$8, 7, 0) - VLOOKUP($B36, Κανονικοποίηση!$A$2:$K$8, 7, 0)) / $D$7))</f>
        <v>0</v>
      </c>
      <c r="I36" s="35">
        <f>IF(VLOOKUP($A36, Κανονικοποίηση!$A$2:$K$8, 8, 0) - VLOOKUP($B36, Κανονικοποίηση!$A$2:$K$8, 8, 0) &gt; 0, 1, 0)</f>
        <v>0</v>
      </c>
      <c r="J36" s="35">
        <f>IF(VLOOKUP($A36, Κανονικοποίηση!$A$2:$K$8, 9, 0) - VLOOKUP($B36, Κανονικοποίηση!$A$2:$K$8, 9, 0) &gt; 0, 1, 0)</f>
        <v>1</v>
      </c>
      <c r="K36" s="35">
        <f>IF(VLOOKUP($A36, Κανονικοποίηση!$A$2:$K$8, 10, 0) - VLOOKUP($B36, Κανονικοποίηση!$A$2:$K$8, 10, 0) &gt; 0, 1, 0)</f>
        <v>0</v>
      </c>
      <c r="L36" s="36">
        <f>IF(VLOOKUP($A36, Κανονικοποίηση!$A$2:$K$8, 11, 0) - VLOOKUP($B36, Κανονικοποίηση!$A$2:$K$8, 11, 0) &gt; 0, 1, 0)</f>
        <v>1</v>
      </c>
      <c r="M36" s="41" cm="1">
        <f t="array" ref="M36">SUMPRODUCT(C36:L36, TRANSPOSE(Βάρη!$E$2:$E$11))</f>
        <v>0.4894</v>
      </c>
      <c r="N36" s="25" cm="1">
        <f t="array" ref="N36">SUMPRODUCT(C36:L36, TRANSPOSE(Βάρη!$C$2:$C$11))</f>
        <v>0.50909090909090904</v>
      </c>
      <c r="O36" s="25" cm="1">
        <f t="array" ref="O36">SUMPRODUCT(C36:L36, TRANSPOSE(Βάρη!$F$2:$F$11))</f>
        <v>0.50909090909090904</v>
      </c>
      <c r="P36" s="41" cm="1">
        <f t="array" ref="P36">SUMPRODUCT(C36:L36, TRANSPOSE(Σύνοψη!$J$3:$J$12))</f>
        <v>1.6955428806038633</v>
      </c>
      <c r="Q36" s="25" cm="1">
        <f t="array" ref="Q36">SUMPRODUCT(C36:L36, TRANSPOSE(Βάρη!$D$2:$D$11))</f>
        <v>0.43571331797859375</v>
      </c>
    </row>
    <row r="37" spans="1:17">
      <c r="A37" s="47" t="s">
        <v>14</v>
      </c>
      <c r="B37" s="47" t="s">
        <v>15</v>
      </c>
      <c r="C37" s="35">
        <f>IF(VLOOKUP($A37, Κανονικοποίηση!$A$2:$K$8, 2, 0) - VLOOKUP($B37, Κανονικοποίηση!$A$2:$K$8, 2, 0) &lt;= $C$2, 0, IF(VLOOKUP($A37, Κανονικοποίηση!$A$2:$K$8, 2, 0) - VLOOKUP($B37, Κανονικοποίηση!$A$2:$K$8, 2, 0) &gt;= $D$2, 1, (VLOOKUP($A37, Κανονικοποίηση!$A$2:$K$8, 2, 0) - VLOOKUP($B37, Κανονικοποίηση!$A$2:$K$8, 2, 0) - $C$2) / ($D$2 - $C$2)))</f>
        <v>0</v>
      </c>
      <c r="D37" s="35">
        <f>IF(VLOOKUP($A37, Κανονικοποίηση!$A$2:$K$8, 3, 0) - VLOOKUP($B37, Κανονικοποίηση!$A$2:$K$8, 3, 0) &gt; 0, 1, 0)</f>
        <v>1</v>
      </c>
      <c r="E37" s="35">
        <f>IF(VLOOKUP($A37, Κανονικοποίηση!$A$2:$K$8, 4, 0) - VLOOKUP($B37, Κανονικοποίηση!$A$2:$K$8, 4, 0) &gt; 0, 1, 0)</f>
        <v>1</v>
      </c>
      <c r="F37" s="35">
        <f>IF(VLOOKUP($A37, Κανονικοποίηση!$A$2:$K$8, 5, 0) - VLOOKUP($B37, Κανονικοποίηση!$A$2:$K$8, 5, 0) &gt; $C$5, 1, 0)</f>
        <v>1</v>
      </c>
      <c r="G37" s="35">
        <f>IF(VLOOKUP($A37, Κανονικοποίηση!$A$2:$K$8, 6, 0) - VLOOKUP($B37, Κανονικοποίηση!$A$2:$K$8, 6, 0) &gt; 0, 1, 0)</f>
        <v>1</v>
      </c>
      <c r="H37" s="35">
        <f>IF(VLOOKUP($A37, Κανονικοποίηση!$A$2:$K$8, 7, 0) - VLOOKUP($B37, Κανονικοποίηση!$A$2:$K$8, 7, 0) &lt;= 0, 0, IF(VLOOKUP($A37, Κανονικοποίηση!$A$2:$K$8, 7, 0) - VLOOKUP($B37, Κανονικοποίηση!$A$2:$K$8, 7, 0) &gt;= $D$7, 1, (VLOOKUP($A37, Κανονικοποίηση!$A$2:$K$8, 7, 0) - VLOOKUP($B37, Κανονικοποίηση!$A$2:$K$8, 7, 0)) / $D$7))</f>
        <v>0</v>
      </c>
      <c r="I37" s="35">
        <f>IF(VLOOKUP($A37, Κανονικοποίηση!$A$2:$K$8, 8, 0) - VLOOKUP($B37, Κανονικοποίηση!$A$2:$K$8, 8, 0) &gt; 0, 1, 0)</f>
        <v>0</v>
      </c>
      <c r="J37" s="35">
        <f>IF(VLOOKUP($A37, Κανονικοποίηση!$A$2:$K$8, 9, 0) - VLOOKUP($B37, Κανονικοποίηση!$A$2:$K$8, 9, 0) &gt; 0, 1, 0)</f>
        <v>1</v>
      </c>
      <c r="K37" s="35">
        <f>IF(VLOOKUP($A37, Κανονικοποίηση!$A$2:$K$8, 10, 0) - VLOOKUP($B37, Κανονικοποίηση!$A$2:$K$8, 10, 0) &gt; 0, 1, 0)</f>
        <v>1</v>
      </c>
      <c r="L37" s="36">
        <f>IF(VLOOKUP($A37, Κανονικοποίηση!$A$2:$K$8, 11, 0) - VLOOKUP($B37, Κανονικοποίηση!$A$2:$K$8, 11, 0) &gt; 0, 1, 0)</f>
        <v>1</v>
      </c>
      <c r="M37" s="41" cm="1">
        <f t="array" ref="M37">SUMPRODUCT(C37:L37, TRANSPOSE(Βάρη!$E$2:$E$11))</f>
        <v>0.56389999999999996</v>
      </c>
      <c r="N37" s="25" cm="1">
        <f t="array" ref="N37">SUMPRODUCT(C37:L37, TRANSPOSE(Βάρη!$C$2:$C$11))</f>
        <v>0.63636363636363646</v>
      </c>
      <c r="O37" s="25" cm="1">
        <f t="array" ref="O37">SUMPRODUCT(C37:L37, TRANSPOSE(Βάρη!$F$2:$F$11))</f>
        <v>0.65454545454545454</v>
      </c>
      <c r="P37" s="41" cm="1">
        <f t="array" ref="P37">SUMPRODUCT(C37:L37, TRANSPOSE(Σύνοψη!$J$3:$J$12))</f>
        <v>2.0643812870639815</v>
      </c>
      <c r="Q37" s="25" cm="1">
        <f t="array" ref="Q37">SUMPRODUCT(C37:L37, TRANSPOSE(Βάρη!$D$2:$D$11))</f>
        <v>0.53055141579731746</v>
      </c>
    </row>
    <row r="38" spans="1:17">
      <c r="A38" s="47" t="s">
        <v>14</v>
      </c>
      <c r="B38" s="47" t="s">
        <v>16</v>
      </c>
      <c r="C38" s="35">
        <f>IF(VLOOKUP($A38, Κανονικοποίηση!$A$2:$K$8, 2, 0) - VLOOKUP($B38, Κανονικοποίηση!$A$2:$K$8, 2, 0) &lt;= $C$2, 0, IF(VLOOKUP($A38, Κανονικοποίηση!$A$2:$K$8, 2, 0) - VLOOKUP($B38, Κανονικοποίηση!$A$2:$K$8, 2, 0) &gt;= $D$2, 1, (VLOOKUP($A38, Κανονικοποίηση!$A$2:$K$8, 2, 0) - VLOOKUP($B38, Κανονικοποίηση!$A$2:$K$8, 2, 0) - $C$2) / ($D$2 - $C$2)))</f>
        <v>0</v>
      </c>
      <c r="D38" s="35">
        <f>IF(VLOOKUP($A38, Κανονικοποίηση!$A$2:$K$8, 3, 0) - VLOOKUP($B38, Κανονικοποίηση!$A$2:$K$8, 3, 0) &gt; 0, 1, 0)</f>
        <v>1</v>
      </c>
      <c r="E38" s="35">
        <f>IF(VLOOKUP($A38, Κανονικοποίηση!$A$2:$K$8, 4, 0) - VLOOKUP($B38, Κανονικοποίηση!$A$2:$K$8, 4, 0) &gt; 0, 1, 0)</f>
        <v>1</v>
      </c>
      <c r="F38" s="35">
        <f>IF(VLOOKUP($A38, Κανονικοποίηση!$A$2:$K$8, 5, 0) - VLOOKUP($B38, Κανονικοποίηση!$A$2:$K$8, 5, 0) &gt; $C$5, 1, 0)</f>
        <v>0</v>
      </c>
      <c r="G38" s="35">
        <f>IF(VLOOKUP($A38, Κανονικοποίηση!$A$2:$K$8, 6, 0) - VLOOKUP($B38, Κανονικοποίηση!$A$2:$K$8, 6, 0) &gt; 0, 1, 0)</f>
        <v>0</v>
      </c>
      <c r="H38" s="35">
        <f>IF(VLOOKUP($A38, Κανονικοποίηση!$A$2:$K$8, 7, 0) - VLOOKUP($B38, Κανονικοποίηση!$A$2:$K$8, 7, 0) &lt;= 0, 0, IF(VLOOKUP($A38, Κανονικοποίηση!$A$2:$K$8, 7, 0) - VLOOKUP($B38, Κανονικοποίηση!$A$2:$K$8, 7, 0) &gt;= $D$7, 1, (VLOOKUP($A38, Κανονικοποίηση!$A$2:$K$8, 7, 0) - VLOOKUP($B38, Κανονικοποίηση!$A$2:$K$8, 7, 0)) / $D$7))</f>
        <v>0</v>
      </c>
      <c r="I38" s="35">
        <f>IF(VLOOKUP($A38, Κανονικοποίηση!$A$2:$K$8, 8, 0) - VLOOKUP($B38, Κανονικοποίηση!$A$2:$K$8, 8, 0) &gt; 0, 1, 0)</f>
        <v>1</v>
      </c>
      <c r="J38" s="35">
        <f>IF(VLOOKUP($A38, Κανονικοποίηση!$A$2:$K$8, 9, 0) - VLOOKUP($B38, Κανονικοποίηση!$A$2:$K$8, 9, 0) &gt; 0, 1, 0)</f>
        <v>1</v>
      </c>
      <c r="K38" s="35">
        <f>IF(VLOOKUP($A38, Κανονικοποίηση!$A$2:$K$8, 10, 0) - VLOOKUP($B38, Κανονικοποίηση!$A$2:$K$8, 10, 0) &gt; 0, 1, 0)</f>
        <v>0</v>
      </c>
      <c r="L38" s="36">
        <f>IF(VLOOKUP($A38, Κανονικοποίηση!$A$2:$K$8, 11, 0) - VLOOKUP($B38, Κανονικοποίηση!$A$2:$K$8, 11, 0) &gt; 0, 1, 0)</f>
        <v>1</v>
      </c>
      <c r="M38" s="41" cm="1">
        <f t="array" ref="M38">SUMPRODUCT(C38:L38, TRANSPOSE(Βάρη!$E$2:$E$11))</f>
        <v>0.47510000000000002</v>
      </c>
      <c r="N38" s="25" cm="1">
        <f t="array" ref="N38">SUMPRODUCT(C38:L38, TRANSPOSE(Βάρη!$C$2:$C$11))</f>
        <v>0.49090909090909091</v>
      </c>
      <c r="O38" s="25" cm="1">
        <f t="array" ref="O38">SUMPRODUCT(C38:L38, TRANSPOSE(Βάρη!$F$2:$F$11))</f>
        <v>0.45454545454545459</v>
      </c>
      <c r="P38" s="41" cm="1">
        <f t="array" ref="P38">SUMPRODUCT(C38:L38, TRANSPOSE(Σύνοψη!$J$3:$J$12))</f>
        <v>1.4809437979107136</v>
      </c>
      <c r="Q38" s="25" cm="1">
        <f t="array" ref="Q38">SUMPRODUCT(C38:L38, TRANSPOSE(Βάρη!$D$2:$D$11))</f>
        <v>0.42961658311881867</v>
      </c>
    </row>
    <row r="39" spans="1:17">
      <c r="A39" s="47" t="s">
        <v>14</v>
      </c>
      <c r="B39" s="47" t="s">
        <v>17</v>
      </c>
      <c r="C39" s="35">
        <f>IF(VLOOKUP($A39, Κανονικοποίηση!$A$2:$K$8, 2, 0) - VLOOKUP($B39, Κανονικοποίηση!$A$2:$K$8, 2, 0) &lt;= $C$2, 0, IF(VLOOKUP($A39, Κανονικοποίηση!$A$2:$K$8, 2, 0) - VLOOKUP($B39, Κανονικοποίηση!$A$2:$K$8, 2, 0) &gt;= $D$2, 1, (VLOOKUP($A39, Κανονικοποίηση!$A$2:$K$8, 2, 0) - VLOOKUP($B39, Κανονικοποίηση!$A$2:$K$8, 2, 0) - $C$2) / ($D$2 - $C$2)))</f>
        <v>0</v>
      </c>
      <c r="D39" s="35">
        <f>IF(VLOOKUP($A39, Κανονικοποίηση!$A$2:$K$8, 3, 0) - VLOOKUP($B39, Κανονικοποίηση!$A$2:$K$8, 3, 0) &gt; 0, 1, 0)</f>
        <v>1</v>
      </c>
      <c r="E39" s="35">
        <f>IF(VLOOKUP($A39, Κανονικοποίηση!$A$2:$K$8, 4, 0) - VLOOKUP($B39, Κανονικοποίηση!$A$2:$K$8, 4, 0) &gt; 0, 1, 0)</f>
        <v>1</v>
      </c>
      <c r="F39" s="35">
        <f>IF(VLOOKUP($A39, Κανονικοποίηση!$A$2:$K$8, 5, 0) - VLOOKUP($B39, Κανονικοποίηση!$A$2:$K$8, 5, 0) &gt; $C$5, 1, 0)</f>
        <v>1</v>
      </c>
      <c r="G39" s="35">
        <f>IF(VLOOKUP($A39, Κανονικοποίηση!$A$2:$K$8, 6, 0) - VLOOKUP($B39, Κανονικοποίηση!$A$2:$K$8, 6, 0) &gt; 0, 1, 0)</f>
        <v>1</v>
      </c>
      <c r="H39" s="35">
        <f>IF(VLOOKUP($A39, Κανονικοποίηση!$A$2:$K$8, 7, 0) - VLOOKUP($B39, Κανονικοποίηση!$A$2:$K$8, 7, 0) &lt;= 0, 0, IF(VLOOKUP($A39, Κανονικοποίηση!$A$2:$K$8, 7, 0) - VLOOKUP($B39, Κανονικοποίηση!$A$2:$K$8, 7, 0) &gt;= $D$7, 1, (VLOOKUP($A39, Κανονικοποίηση!$A$2:$K$8, 7, 0) - VLOOKUP($B39, Κανονικοποίηση!$A$2:$K$8, 7, 0)) / $D$7))</f>
        <v>0</v>
      </c>
      <c r="I39" s="35">
        <f>IF(VLOOKUP($A39, Κανονικοποίηση!$A$2:$K$8, 8, 0) - VLOOKUP($B39, Κανονικοποίηση!$A$2:$K$8, 8, 0) &gt; 0, 1, 0)</f>
        <v>0</v>
      </c>
      <c r="J39" s="35">
        <f>IF(VLOOKUP($A39, Κανονικοποίηση!$A$2:$K$8, 9, 0) - VLOOKUP($B39, Κανονικοποίηση!$A$2:$K$8, 9, 0) &gt; 0, 1, 0)</f>
        <v>1</v>
      </c>
      <c r="K39" s="35">
        <f>IF(VLOOKUP($A39, Κανονικοποίηση!$A$2:$K$8, 10, 0) - VLOOKUP($B39, Κανονικοποίηση!$A$2:$K$8, 10, 0) &gt; 0, 1, 0)</f>
        <v>0</v>
      </c>
      <c r="L39" s="36">
        <f>IF(VLOOKUP($A39, Κανονικοποίηση!$A$2:$K$8, 11, 0) - VLOOKUP($B39, Κανονικοποίηση!$A$2:$K$8, 11, 0) &gt; 0, 1, 0)</f>
        <v>1</v>
      </c>
      <c r="M39" s="41" cm="1">
        <f t="array" ref="M39">SUMPRODUCT(C39:L39, TRANSPOSE(Βάρη!$E$2:$E$11))</f>
        <v>0.55399999999999994</v>
      </c>
      <c r="N39" s="25" cm="1">
        <f t="array" ref="N39">SUMPRODUCT(C39:L39, TRANSPOSE(Βάρη!$C$2:$C$11))</f>
        <v>0.60000000000000009</v>
      </c>
      <c r="O39" s="25" cm="1">
        <f t="array" ref="O39">SUMPRODUCT(C39:L39, TRANSPOSE(Βάρη!$F$2:$F$11))</f>
        <v>0.61818181818181817</v>
      </c>
      <c r="P39" s="41" cm="1">
        <f t="array" ref="P39">SUMPRODUCT(C39:L39, TRANSPOSE(Σύνοψη!$J$3:$J$12))</f>
        <v>2.0643812870639815</v>
      </c>
      <c r="Q39" s="25" cm="1">
        <f t="array" ref="Q39">SUMPRODUCT(C39:L39, TRANSPOSE(Βάρη!$D$2:$D$11))</f>
        <v>0.49261617666982799</v>
      </c>
    </row>
    <row r="40" spans="1:17">
      <c r="A40" s="47" t="s">
        <v>15</v>
      </c>
      <c r="B40" s="47" t="s">
        <v>11</v>
      </c>
      <c r="C40" s="35">
        <f>IF(VLOOKUP($A40, Κανονικοποίηση!$A$2:$K$8, 2, 0) - VLOOKUP($B40, Κανονικοποίηση!$A$2:$K$8, 2, 0) &lt;= $C$2, 0, IF(VLOOKUP($A40, Κανονικοποίηση!$A$2:$K$8, 2, 0) - VLOOKUP($B40, Κανονικοποίηση!$A$2:$K$8, 2, 0) &gt;= $D$2, 1, (VLOOKUP($A40, Κανονικοποίηση!$A$2:$K$8, 2, 0) - VLOOKUP($B40, Κανονικοποίηση!$A$2:$K$8, 2, 0) - $C$2) / ($D$2 - $C$2)))</f>
        <v>1</v>
      </c>
      <c r="D40" s="35">
        <f>IF(VLOOKUP($A40, Κανονικοποίηση!$A$2:$K$8, 3, 0) - VLOOKUP($B40, Κανονικοποίηση!$A$2:$K$8, 3, 0) &gt; 0, 1, 0)</f>
        <v>0</v>
      </c>
      <c r="E40" s="35">
        <f>IF(VLOOKUP($A40, Κανονικοποίηση!$A$2:$K$8, 4, 0) - VLOOKUP($B40, Κανονικοποίηση!$A$2:$K$8, 4, 0) &gt; 0, 1, 0)</f>
        <v>0</v>
      </c>
      <c r="F40" s="35">
        <f>IF(VLOOKUP($A40, Κανονικοποίηση!$A$2:$K$8, 5, 0) - VLOOKUP($B40, Κανονικοποίηση!$A$2:$K$8, 5, 0) &gt; $C$5, 1, 0)</f>
        <v>0</v>
      </c>
      <c r="G40" s="35">
        <f>IF(VLOOKUP($A40, Κανονικοποίηση!$A$2:$K$8, 6, 0) - VLOOKUP($B40, Κανονικοποίηση!$A$2:$K$8, 6, 0) &gt; 0, 1, 0)</f>
        <v>0</v>
      </c>
      <c r="H40" s="35">
        <f>IF(VLOOKUP($A40, Κανονικοποίηση!$A$2:$K$8, 7, 0) - VLOOKUP($B40, Κανονικοποίηση!$A$2:$K$8, 7, 0) &lt;= 0, 0, IF(VLOOKUP($A40, Κανονικοποίηση!$A$2:$K$8, 7, 0) - VLOOKUP($B40, Κανονικοποίηση!$A$2:$K$8, 7, 0) &gt;= $D$7, 1, (VLOOKUP($A40, Κανονικοποίηση!$A$2:$K$8, 7, 0) - VLOOKUP($B40, Κανονικοποίηση!$A$2:$K$8, 7, 0)) / $D$7))</f>
        <v>0.41666666666666669</v>
      </c>
      <c r="I40" s="35">
        <f>IF(VLOOKUP($A40, Κανονικοποίηση!$A$2:$K$8, 8, 0) - VLOOKUP($B40, Κανονικοποίηση!$A$2:$K$8, 8, 0) &gt; 0, 1, 0)</f>
        <v>1</v>
      </c>
      <c r="J40" s="35">
        <f>IF(VLOOKUP($A40, Κανονικοποίηση!$A$2:$K$8, 9, 0) - VLOOKUP($B40, Κανονικοποίηση!$A$2:$K$8, 9, 0) &gt; 0, 1, 0)</f>
        <v>0</v>
      </c>
      <c r="K40" s="35">
        <f>IF(VLOOKUP($A40, Κανονικοποίηση!$A$2:$K$8, 10, 0) - VLOOKUP($B40, Κανονικοποίηση!$A$2:$K$8, 10, 0) &gt; 0, 1, 0)</f>
        <v>0</v>
      </c>
      <c r="L40" s="36">
        <f>IF(VLOOKUP($A40, Κανονικοποίηση!$A$2:$K$8, 11, 0) - VLOOKUP($B40, Κανονικοποίηση!$A$2:$K$8, 11, 0) &gt; 0, 1, 0)</f>
        <v>0</v>
      </c>
      <c r="M40" s="41" cm="1">
        <f t="array" ref="M40">SUMPRODUCT(C40:L40, TRANSPOSE(Βάρη!$E$2:$E$11))</f>
        <v>0.3721666666666667</v>
      </c>
      <c r="N40" s="25" cm="1">
        <f t="array" ref="N40">SUMPRODUCT(C40:L40, TRANSPOSE(Βάρη!$C$2:$C$11))</f>
        <v>0.28939393939393943</v>
      </c>
      <c r="O40" s="25" cm="1">
        <f t="array" ref="O40">SUMPRODUCT(C40:L40, TRANSPOSE(Βάρη!$F$2:$F$11))</f>
        <v>0.29242424242424242</v>
      </c>
      <c r="P40" s="41" cm="1">
        <f t="array" ref="P40">SUMPRODUCT(C40:L40, TRANSPOSE(Σύνοψη!$J$3:$J$12))</f>
        <v>1.241316179092129</v>
      </c>
      <c r="Q40" s="25" cm="1">
        <f t="array" ref="Q40">SUMPRODUCT(C40:L40, TRANSPOSE(Βάρη!$D$2:$D$11))</f>
        <v>0.41965858284785262</v>
      </c>
    </row>
    <row r="41" spans="1:17">
      <c r="A41" s="47" t="s">
        <v>15</v>
      </c>
      <c r="B41" s="47" t="s">
        <v>12</v>
      </c>
      <c r="C41" s="35">
        <f>IF(VLOOKUP($A41, Κανονικοποίηση!$A$2:$K$8, 2, 0) - VLOOKUP($B41, Κανονικοποίηση!$A$2:$K$8, 2, 0) &lt;= $C$2, 0, IF(VLOOKUP($A41, Κανονικοποίηση!$A$2:$K$8, 2, 0) - VLOOKUP($B41, Κανονικοποίηση!$A$2:$K$8, 2, 0) &gt;= $D$2, 1, (VLOOKUP($A41, Κανονικοποίηση!$A$2:$K$8, 2, 0) - VLOOKUP($B41, Κανονικοποίηση!$A$2:$K$8, 2, 0) - $C$2) / ($D$2 - $C$2)))</f>
        <v>1</v>
      </c>
      <c r="D41" s="35">
        <f>IF(VLOOKUP($A41, Κανονικοποίηση!$A$2:$K$8, 3, 0) - VLOOKUP($B41, Κανονικοποίηση!$A$2:$K$8, 3, 0) &gt; 0, 1, 0)</f>
        <v>0</v>
      </c>
      <c r="E41" s="35">
        <f>IF(VLOOKUP($A41, Κανονικοποίηση!$A$2:$K$8, 4, 0) - VLOOKUP($B41, Κανονικοποίηση!$A$2:$K$8, 4, 0) &gt; 0, 1, 0)</f>
        <v>0</v>
      </c>
      <c r="F41" s="35">
        <f>IF(VLOOKUP($A41, Κανονικοποίηση!$A$2:$K$8, 5, 0) - VLOOKUP($B41, Κανονικοποίηση!$A$2:$K$8, 5, 0) &gt; $C$5, 1, 0)</f>
        <v>0</v>
      </c>
      <c r="G41" s="35">
        <f>IF(VLOOKUP($A41, Κανονικοποίηση!$A$2:$K$8, 6, 0) - VLOOKUP($B41, Κανονικοποίηση!$A$2:$K$8, 6, 0) &gt; 0, 1, 0)</f>
        <v>0</v>
      </c>
      <c r="H41" s="35">
        <f>IF(VLOOKUP($A41, Κανονικοποίηση!$A$2:$K$8, 7, 0) - VLOOKUP($B41, Κανονικοποίηση!$A$2:$K$8, 7, 0) &lt;= 0, 0, IF(VLOOKUP($A41, Κανονικοποίηση!$A$2:$K$8, 7, 0) - VLOOKUP($B41, Κανονικοποίηση!$A$2:$K$8, 7, 0) &gt;= $D$7, 1, (VLOOKUP($A41, Κανονικοποίηση!$A$2:$K$8, 7, 0) - VLOOKUP($B41, Κανονικοποίηση!$A$2:$K$8, 7, 0)) / $D$7))</f>
        <v>1</v>
      </c>
      <c r="I41" s="35">
        <f>IF(VLOOKUP($A41, Κανονικοποίηση!$A$2:$K$8, 8, 0) - VLOOKUP($B41, Κανονικοποίηση!$A$2:$K$8, 8, 0) &gt; 0, 1, 0)</f>
        <v>0</v>
      </c>
      <c r="J41" s="35">
        <f>IF(VLOOKUP($A41, Κανονικοποίηση!$A$2:$K$8, 9, 0) - VLOOKUP($B41, Κανονικοποίηση!$A$2:$K$8, 9, 0) &gt; 0, 1, 0)</f>
        <v>0</v>
      </c>
      <c r="K41" s="35">
        <f>IF(VLOOKUP($A41, Κανονικοποίηση!$A$2:$K$8, 10, 0) - VLOOKUP($B41, Κανονικοποίηση!$A$2:$K$8, 10, 0) &gt; 0, 1, 0)</f>
        <v>0</v>
      </c>
      <c r="L41" s="36">
        <f>IF(VLOOKUP($A41, Κανονικοποίηση!$A$2:$K$8, 11, 0) - VLOOKUP($B41, Κανονικοποίηση!$A$2:$K$8, 11, 0) &gt; 0, 1, 0)</f>
        <v>0</v>
      </c>
      <c r="M41" s="41" cm="1">
        <f t="array" ref="M41">SUMPRODUCT(C41:L41, TRANSPOSE(Βάρη!$E$2:$E$11))</f>
        <v>0.40249999999999997</v>
      </c>
      <c r="N41" s="25" cm="1">
        <f t="array" ref="N41">SUMPRODUCT(C41:L41, TRANSPOSE(Βάρη!$C$2:$C$11))</f>
        <v>0.30909090909090908</v>
      </c>
      <c r="O41" s="25" cm="1">
        <f t="array" ref="O41">SUMPRODUCT(C41:L41, TRANSPOSE(Βάρη!$F$2:$F$11))</f>
        <v>0.27272727272727271</v>
      </c>
      <c r="P41" s="41" cm="1">
        <f t="array" ref="P41">SUMPRODUCT(C41:L41, TRANSPOSE(Σύνοψη!$J$3:$J$12))</f>
        <v>1.1672730193399228</v>
      </c>
      <c r="Q41" s="25" cm="1">
        <f t="array" ref="Q41">SUMPRODUCT(C41:L41, TRANSPOSE(Βάρη!$D$2:$D$11))</f>
        <v>0.42677144018425694</v>
      </c>
    </row>
    <row r="42" spans="1:17">
      <c r="A42" s="47" t="s">
        <v>15</v>
      </c>
      <c r="B42" s="47" t="s">
        <v>13</v>
      </c>
      <c r="C42" s="35">
        <f>IF(VLOOKUP($A42, Κανονικοποίηση!$A$2:$K$8, 2, 0) - VLOOKUP($B42, Κανονικοποίηση!$A$2:$K$8, 2, 0) &lt;= $C$2, 0, IF(VLOOKUP($A42, Κανονικοποίηση!$A$2:$K$8, 2, 0) - VLOOKUP($B42, Κανονικοποίηση!$A$2:$K$8, 2, 0) &gt;= $D$2, 1, (VLOOKUP($A42, Κανονικοποίηση!$A$2:$K$8, 2, 0) - VLOOKUP($B42, Κανονικοποίηση!$A$2:$K$8, 2, 0) - $C$2) / ($D$2 - $C$2)))</f>
        <v>0.49999999999999978</v>
      </c>
      <c r="D42" s="35">
        <f>IF(VLOOKUP($A42, Κανονικοποίηση!$A$2:$K$8, 3, 0) - VLOOKUP($B42, Κανονικοποίηση!$A$2:$K$8, 3, 0) &gt; 0, 1, 0)</f>
        <v>0</v>
      </c>
      <c r="E42" s="35">
        <f>IF(VLOOKUP($A42, Κανονικοποίηση!$A$2:$K$8, 4, 0) - VLOOKUP($B42, Κανονικοποίηση!$A$2:$K$8, 4, 0) &gt; 0, 1, 0)</f>
        <v>0</v>
      </c>
      <c r="F42" s="35">
        <f>IF(VLOOKUP($A42, Κανονικοποίηση!$A$2:$K$8, 5, 0) - VLOOKUP($B42, Κανονικοποίηση!$A$2:$K$8, 5, 0) &gt; $C$5, 1, 0)</f>
        <v>0</v>
      </c>
      <c r="G42" s="35">
        <f>IF(VLOOKUP($A42, Κανονικοποίηση!$A$2:$K$8, 6, 0) - VLOOKUP($B42, Κανονικοποίηση!$A$2:$K$8, 6, 0) &gt; 0, 1, 0)</f>
        <v>0</v>
      </c>
      <c r="H42" s="35">
        <f>IF(VLOOKUP($A42, Κανονικοποίηση!$A$2:$K$8, 7, 0) - VLOOKUP($B42, Κανονικοποίηση!$A$2:$K$8, 7, 0) &lt;= 0, 0, IF(VLOOKUP($A42, Κανονικοποίηση!$A$2:$K$8, 7, 0) - VLOOKUP($B42, Κανονικοποίηση!$A$2:$K$8, 7, 0) &gt;= $D$7, 1, (VLOOKUP($A42, Κανονικοποίηση!$A$2:$K$8, 7, 0) - VLOOKUP($B42, Κανονικοποίηση!$A$2:$K$8, 7, 0)) / $D$7))</f>
        <v>0.16666666666666682</v>
      </c>
      <c r="I42" s="35">
        <f>IF(VLOOKUP($A42, Κανονικοποίηση!$A$2:$K$8, 8, 0) - VLOOKUP($B42, Κανονικοποίηση!$A$2:$K$8, 8, 0) &gt; 0, 1, 0)</f>
        <v>1</v>
      </c>
      <c r="J42" s="35">
        <f>IF(VLOOKUP($A42, Κανονικοποίηση!$A$2:$K$8, 9, 0) - VLOOKUP($B42, Κανονικοποίηση!$A$2:$K$8, 9, 0) &gt; 0, 1, 0)</f>
        <v>0</v>
      </c>
      <c r="K42" s="35">
        <f>IF(VLOOKUP($A42, Κανονικοποίηση!$A$2:$K$8, 10, 0) - VLOOKUP($B42, Κανονικοποίηση!$A$2:$K$8, 10, 0) &gt; 0, 1, 0)</f>
        <v>0</v>
      </c>
      <c r="L42" s="36">
        <f>IF(VLOOKUP($A42, Κανονικοποίηση!$A$2:$K$8, 11, 0) - VLOOKUP($B42, Κανονικοποίηση!$A$2:$K$8, 11, 0) &gt; 0, 1, 0)</f>
        <v>0</v>
      </c>
      <c r="M42" s="41" cm="1">
        <f t="array" ref="M42">SUMPRODUCT(C42:L42, TRANSPOSE(Βάρη!$E$2:$E$11))</f>
        <v>0.19831666666666661</v>
      </c>
      <c r="N42" s="25" cm="1">
        <f t="array" ref="N42">SUMPRODUCT(C42:L42, TRANSPOSE(Βάρη!$C$2:$C$11))</f>
        <v>0.16666666666666663</v>
      </c>
      <c r="O42" s="25" cm="1">
        <f t="array" ref="O42">SUMPRODUCT(C42:L42, TRANSPOSE(Βάρη!$F$2:$F$11))</f>
        <v>0.17878787878787877</v>
      </c>
      <c r="P42" s="41" cm="1">
        <f t="array" ref="P42">SUMPRODUCT(C42:L42, TRANSPOSE(Σύνοψη!$J$3:$J$12))</f>
        <v>0.8096292452662881</v>
      </c>
      <c r="Q42" s="25" cm="1">
        <f t="array" ref="Q42">SUMPRODUCT(C42:L42, TRANSPOSE(Βάρη!$D$2:$D$11))</f>
        <v>0.22761143476493695</v>
      </c>
    </row>
    <row r="43" spans="1:17">
      <c r="A43" s="47" t="s">
        <v>15</v>
      </c>
      <c r="B43" s="47" t="s">
        <v>14</v>
      </c>
      <c r="C43" s="35">
        <f>IF(VLOOKUP($A43, Κανονικοποίηση!$A$2:$K$8, 2, 0) - VLOOKUP($B43, Κανονικοποίηση!$A$2:$K$8, 2, 0) &lt;= $C$2, 0, IF(VLOOKUP($A43, Κανονικοποίηση!$A$2:$K$8, 2, 0) - VLOOKUP($B43, Κανονικοποίηση!$A$2:$K$8, 2, 0) &gt;= $D$2, 1, (VLOOKUP($A43, Κανονικοποίηση!$A$2:$K$8, 2, 0) - VLOOKUP($B43, Κανονικοποίηση!$A$2:$K$8, 2, 0) - $C$2) / ($D$2 - $C$2)))</f>
        <v>1</v>
      </c>
      <c r="D43" s="35">
        <f>IF(VLOOKUP($A43, Κανονικοποίηση!$A$2:$K$8, 3, 0) - VLOOKUP($B43, Κανονικοποίηση!$A$2:$K$8, 3, 0) &gt; 0, 1, 0)</f>
        <v>0</v>
      </c>
      <c r="E43" s="35">
        <f>IF(VLOOKUP($A43, Κανονικοποίηση!$A$2:$K$8, 4, 0) - VLOOKUP($B43, Κανονικοποίηση!$A$2:$K$8, 4, 0) &gt; 0, 1, 0)</f>
        <v>0</v>
      </c>
      <c r="F43" s="35">
        <f>IF(VLOOKUP($A43, Κανονικοποίηση!$A$2:$K$8, 5, 0) - VLOOKUP($B43, Κανονικοποίηση!$A$2:$K$8, 5, 0) &gt; $C$5, 1, 0)</f>
        <v>0</v>
      </c>
      <c r="G43" s="35">
        <f>IF(VLOOKUP($A43, Κανονικοποίηση!$A$2:$K$8, 6, 0) - VLOOKUP($B43, Κανονικοποίηση!$A$2:$K$8, 6, 0) &gt; 0, 1, 0)</f>
        <v>0</v>
      </c>
      <c r="H43" s="35">
        <f>IF(VLOOKUP($A43, Κανονικοποίηση!$A$2:$K$8, 7, 0) - VLOOKUP($B43, Κανονικοποίηση!$A$2:$K$8, 7, 0) &lt;= 0, 0, IF(VLOOKUP($A43, Κανονικοποίηση!$A$2:$K$8, 7, 0) - VLOOKUP($B43, Κανονικοποίηση!$A$2:$K$8, 7, 0) &gt;= $D$7, 1, (VLOOKUP($A43, Κανονικοποίηση!$A$2:$K$8, 7, 0) - VLOOKUP($B43, Κανονικοποίηση!$A$2:$K$8, 7, 0)) / $D$7))</f>
        <v>1</v>
      </c>
      <c r="I43" s="35">
        <f>IF(VLOOKUP($A43, Κανονικοποίηση!$A$2:$K$8, 8, 0) - VLOOKUP($B43, Κανονικοποίηση!$A$2:$K$8, 8, 0) &gt; 0, 1, 0)</f>
        <v>1</v>
      </c>
      <c r="J43" s="35">
        <f>IF(VLOOKUP($A43, Κανονικοποίηση!$A$2:$K$8, 9, 0) - VLOOKUP($B43, Κανονικοποίηση!$A$2:$K$8, 9, 0) &gt; 0, 1, 0)</f>
        <v>0</v>
      </c>
      <c r="K43" s="35">
        <f>IF(VLOOKUP($A43, Κανονικοποίηση!$A$2:$K$8, 10, 0) - VLOOKUP($B43, Κανονικοποίηση!$A$2:$K$8, 10, 0) &gt; 0, 1, 0)</f>
        <v>0</v>
      </c>
      <c r="L43" s="36">
        <f>IF(VLOOKUP($A43, Κανονικοποίηση!$A$2:$K$8, 11, 0) - VLOOKUP($B43, Κανονικοποίηση!$A$2:$K$8, 11, 0) &gt; 0, 1, 0)</f>
        <v>0</v>
      </c>
      <c r="M43" s="41" cm="1">
        <f t="array" ref="M43">SUMPRODUCT(C43:L43, TRANSPOSE(Βάρη!$E$2:$E$11))</f>
        <v>0.43609999999999999</v>
      </c>
      <c r="N43" s="25" cm="1">
        <f t="array" ref="N43">SUMPRODUCT(C43:L43, TRANSPOSE(Βάρη!$C$2:$C$11))</f>
        <v>0.36363636363636365</v>
      </c>
      <c r="O43" s="25" cm="1">
        <f t="array" ref="O43">SUMPRODUCT(C43:L43, TRANSPOSE(Βάρη!$F$2:$F$11))</f>
        <v>0.34545454545454546</v>
      </c>
      <c r="P43" s="41" cm="1">
        <f t="array" ref="P43">SUMPRODUCT(C43:L43, TRANSPOSE(Σύνοψη!$J$3:$J$12))</f>
        <v>1.5958651893950766</v>
      </c>
      <c r="Q43" s="25" cm="1">
        <f t="array" ref="Q43">SUMPRODUCT(C43:L43, TRANSPOSE(Βάρη!$D$2:$D$11))</f>
        <v>0.46944858420268265</v>
      </c>
    </row>
    <row r="44" spans="1:17">
      <c r="A44" s="47" t="s">
        <v>15</v>
      </c>
      <c r="B44" s="47" t="s">
        <v>16</v>
      </c>
      <c r="C44" s="35">
        <f>IF(VLOOKUP($A44, Κανονικοποίηση!$A$2:$K$8, 2, 0) - VLOOKUP($B44, Κανονικοποίηση!$A$2:$K$8, 2, 0) &lt;= $C$2, 0, IF(VLOOKUP($A44, Κανονικοποίηση!$A$2:$K$8, 2, 0) - VLOOKUP($B44, Κανονικοποίηση!$A$2:$K$8, 2, 0) &gt;= $D$2, 1, (VLOOKUP($A44, Κανονικοποίηση!$A$2:$K$8, 2, 0) - VLOOKUP($B44, Κανονικοποίηση!$A$2:$K$8, 2, 0) - $C$2) / ($D$2 - $C$2)))</f>
        <v>1</v>
      </c>
      <c r="D44" s="35">
        <f>IF(VLOOKUP($A44, Κανονικοποίηση!$A$2:$K$8, 3, 0) - VLOOKUP($B44, Κανονικοποίηση!$A$2:$K$8, 3, 0) &gt; 0, 1, 0)</f>
        <v>0</v>
      </c>
      <c r="E44" s="35">
        <f>IF(VLOOKUP($A44, Κανονικοποίηση!$A$2:$K$8, 4, 0) - VLOOKUP($B44, Κανονικοποίηση!$A$2:$K$8, 4, 0) &gt; 0, 1, 0)</f>
        <v>0</v>
      </c>
      <c r="F44" s="35">
        <f>IF(VLOOKUP($A44, Κανονικοποίηση!$A$2:$K$8, 5, 0) - VLOOKUP($B44, Κανονικοποίηση!$A$2:$K$8, 5, 0) &gt; $C$5, 1, 0)</f>
        <v>0</v>
      </c>
      <c r="G44" s="35">
        <f>IF(VLOOKUP($A44, Κανονικοποίηση!$A$2:$K$8, 6, 0) - VLOOKUP($B44, Κανονικοποίηση!$A$2:$K$8, 6, 0) &gt; 0, 1, 0)</f>
        <v>0</v>
      </c>
      <c r="H44" s="35">
        <f>IF(VLOOKUP($A44, Κανονικοποίηση!$A$2:$K$8, 7, 0) - VLOOKUP($B44, Κανονικοποίηση!$A$2:$K$8, 7, 0) &lt;= 0, 0, IF(VLOOKUP($A44, Κανονικοποίηση!$A$2:$K$8, 7, 0) - VLOOKUP($B44, Κανονικοποίηση!$A$2:$K$8, 7, 0) &gt;= $D$7, 1, (VLOOKUP($A44, Κανονικοποίηση!$A$2:$K$8, 7, 0) - VLOOKUP($B44, Κανονικοποίηση!$A$2:$K$8, 7, 0)) / $D$7))</f>
        <v>1</v>
      </c>
      <c r="I44" s="35">
        <f>IF(VLOOKUP($A44, Κανονικοποίηση!$A$2:$K$8, 8, 0) - VLOOKUP($B44, Κανονικοποίηση!$A$2:$K$8, 8, 0) &gt; 0, 1, 0)</f>
        <v>1</v>
      </c>
      <c r="J44" s="35">
        <f>IF(VLOOKUP($A44, Κανονικοποίηση!$A$2:$K$8, 9, 0) - VLOOKUP($B44, Κανονικοποίηση!$A$2:$K$8, 9, 0) &gt; 0, 1, 0)</f>
        <v>0</v>
      </c>
      <c r="K44" s="35">
        <f>IF(VLOOKUP($A44, Κανονικοποίηση!$A$2:$K$8, 10, 0) - VLOOKUP($B44, Κανονικοποίηση!$A$2:$K$8, 10, 0) &gt; 0, 1, 0)</f>
        <v>0</v>
      </c>
      <c r="L44" s="36">
        <f>IF(VLOOKUP($A44, Κανονικοποίηση!$A$2:$K$8, 11, 0) - VLOOKUP($B44, Κανονικοποίηση!$A$2:$K$8, 11, 0) &gt; 0, 1, 0)</f>
        <v>0</v>
      </c>
      <c r="M44" s="41" cm="1">
        <f t="array" ref="M44">SUMPRODUCT(C44:L44, TRANSPOSE(Βάρη!$E$2:$E$11))</f>
        <v>0.43609999999999999</v>
      </c>
      <c r="N44" s="25" cm="1">
        <f t="array" ref="N44">SUMPRODUCT(C44:L44, TRANSPOSE(Βάρη!$C$2:$C$11))</f>
        <v>0.36363636363636365</v>
      </c>
      <c r="O44" s="25" cm="1">
        <f t="array" ref="O44">SUMPRODUCT(C44:L44, TRANSPOSE(Βάρη!$F$2:$F$11))</f>
        <v>0.34545454545454546</v>
      </c>
      <c r="P44" s="41" cm="1">
        <f t="array" ref="P44">SUMPRODUCT(C44:L44, TRANSPOSE(Σύνοψη!$J$3:$J$12))</f>
        <v>1.5958651893950766</v>
      </c>
      <c r="Q44" s="25" cm="1">
        <f t="array" ref="Q44">SUMPRODUCT(C44:L44, TRANSPOSE(Βάρη!$D$2:$D$11))</f>
        <v>0.46944858420268265</v>
      </c>
    </row>
    <row r="45" spans="1:17">
      <c r="A45" s="47" t="s">
        <v>15</v>
      </c>
      <c r="B45" s="47" t="s">
        <v>17</v>
      </c>
      <c r="C45" s="35">
        <f>IF(VLOOKUP($A45, Κανονικοποίηση!$A$2:$K$8, 2, 0) - VLOOKUP($B45, Κανονικοποίηση!$A$2:$K$8, 2, 0) &lt;= $C$2, 0, IF(VLOOKUP($A45, Κανονικοποίηση!$A$2:$K$8, 2, 0) - VLOOKUP($B45, Κανονικοποίηση!$A$2:$K$8, 2, 0) &gt;= $D$2, 1, (VLOOKUP($A45, Κανονικοποίηση!$A$2:$K$8, 2, 0) - VLOOKUP($B45, Κανονικοποίηση!$A$2:$K$8, 2, 0) - $C$2) / ($D$2 - $C$2)))</f>
        <v>0</v>
      </c>
      <c r="D45" s="35">
        <f>IF(VLOOKUP($A45, Κανονικοποίηση!$A$2:$K$8, 3, 0) - VLOOKUP($B45, Κανονικοποίηση!$A$2:$K$8, 3, 0) &gt; 0, 1, 0)</f>
        <v>0</v>
      </c>
      <c r="E45" s="35">
        <f>IF(VLOOKUP($A45, Κανονικοποίηση!$A$2:$K$8, 4, 0) - VLOOKUP($B45, Κανονικοποίηση!$A$2:$K$8, 4, 0) &gt; 0, 1, 0)</f>
        <v>0</v>
      </c>
      <c r="F45" s="35">
        <f>IF(VLOOKUP($A45, Κανονικοποίηση!$A$2:$K$8, 5, 0) - VLOOKUP($B45, Κανονικοποίηση!$A$2:$K$8, 5, 0) &gt; $C$5, 1, 0)</f>
        <v>0</v>
      </c>
      <c r="G45" s="35">
        <f>IF(VLOOKUP($A45, Κανονικοποίηση!$A$2:$K$8, 6, 0) - VLOOKUP($B45, Κανονικοποίηση!$A$2:$K$8, 6, 0) &gt; 0, 1, 0)</f>
        <v>0</v>
      </c>
      <c r="H45" s="35">
        <f>IF(VLOOKUP($A45, Κανονικοποίηση!$A$2:$K$8, 7, 0) - VLOOKUP($B45, Κανονικοποίηση!$A$2:$K$8, 7, 0) &lt;= 0, 0, IF(VLOOKUP($A45, Κανονικοποίηση!$A$2:$K$8, 7, 0) - VLOOKUP($B45, Κανονικοποίηση!$A$2:$K$8, 7, 0) &gt;= $D$7, 1, (VLOOKUP($A45, Κανονικοποίηση!$A$2:$K$8, 7, 0) - VLOOKUP($B45, Κανονικοποίηση!$A$2:$K$8, 7, 0)) / $D$7))</f>
        <v>8.3333333333333412E-2</v>
      </c>
      <c r="I45" s="35">
        <f>IF(VLOOKUP($A45, Κανονικοποίηση!$A$2:$K$8, 8, 0) - VLOOKUP($B45, Κανονικοποίηση!$A$2:$K$8, 8, 0) &gt; 0, 1, 0)</f>
        <v>1</v>
      </c>
      <c r="J45" s="35">
        <f>IF(VLOOKUP($A45, Κανονικοποίηση!$A$2:$K$8, 9, 0) - VLOOKUP($B45, Κανονικοποίηση!$A$2:$K$8, 9, 0) &gt; 0, 1, 0)</f>
        <v>0</v>
      </c>
      <c r="K45" s="35">
        <f>IF(VLOOKUP($A45, Κανονικοποίηση!$A$2:$K$8, 10, 0) - VLOOKUP($B45, Κανονικοποίηση!$A$2:$K$8, 10, 0) &gt; 0, 1, 0)</f>
        <v>0</v>
      </c>
      <c r="L45" s="36">
        <f>IF(VLOOKUP($A45, Κανονικοποίηση!$A$2:$K$8, 11, 0) - VLOOKUP($B45, Κανονικοποίηση!$A$2:$K$8, 11, 0) &gt; 0, 1, 0)</f>
        <v>1</v>
      </c>
      <c r="M45" s="41" cm="1">
        <f t="array" ref="M45">SUMPRODUCT(C45:L45, TRANSPOSE(Βάρη!$E$2:$E$11))</f>
        <v>6.3833333333333339E-2</v>
      </c>
      <c r="N45" s="25" cm="1">
        <f t="array" ref="N45">SUMPRODUCT(C45:L45, TRANSPOSE(Βάρη!$C$2:$C$11))</f>
        <v>8.3333333333333343E-2</v>
      </c>
      <c r="O45" s="25" cm="1">
        <f t="array" ref="O45">SUMPRODUCT(C45:L45, TRANSPOSE(Βάρη!$F$2:$F$11))</f>
        <v>9.8484848484848481E-2</v>
      </c>
      <c r="P45" s="41" cm="1">
        <f t="array" ref="P45">SUMPRODUCT(C45:L45, TRANSPOSE(Σύνοψη!$J$3:$J$12))</f>
        <v>0.47924202866986065</v>
      </c>
      <c r="Q45" s="25" cm="1">
        <f t="array" ref="Q45">SUMPRODUCT(C45:L45, TRANSPOSE(Βάρη!$D$2:$D$11))</f>
        <v>8.3931716569570533E-2</v>
      </c>
    </row>
    <row r="46" spans="1:17">
      <c r="A46" s="47" t="s">
        <v>16</v>
      </c>
      <c r="B46" s="47" t="s">
        <v>11</v>
      </c>
      <c r="C46" s="35">
        <f>IF(VLOOKUP($A46, Κανονικοποίηση!$A$2:$K$8, 2, 0) - VLOOKUP($B46, Κανονικοποίηση!$A$2:$K$8, 2, 0) &lt;= $C$2, 0, IF(VLOOKUP($A46, Κανονικοποίηση!$A$2:$K$8, 2, 0) - VLOOKUP($B46, Κανονικοποίηση!$A$2:$K$8, 2, 0) &gt;= $D$2, 1, (VLOOKUP($A46, Κανονικοποίηση!$A$2:$K$8, 2, 0) - VLOOKUP($B46, Κανονικοποίηση!$A$2:$K$8, 2, 0) - $C$2) / ($D$2 - $C$2)))</f>
        <v>0</v>
      </c>
      <c r="D46" s="35">
        <f>IF(VLOOKUP($A46, Κανονικοποίηση!$A$2:$K$8, 3, 0) - VLOOKUP($B46, Κανονικοποίηση!$A$2:$K$8, 3, 0) &gt; 0, 1, 0)</f>
        <v>1</v>
      </c>
      <c r="E46" s="35">
        <f>IF(VLOOKUP($A46, Κανονικοποίηση!$A$2:$K$8, 4, 0) - VLOOKUP($B46, Κανονικοποίηση!$A$2:$K$8, 4, 0) &gt; 0, 1, 0)</f>
        <v>0</v>
      </c>
      <c r="F46" s="35">
        <f>IF(VLOOKUP($A46, Κανονικοποίηση!$A$2:$K$8, 5, 0) - VLOOKUP($B46, Κανονικοποίηση!$A$2:$K$8, 5, 0) &gt; $C$5, 1, 0)</f>
        <v>1</v>
      </c>
      <c r="G46" s="35">
        <f>IF(VLOOKUP($A46, Κανονικοποίηση!$A$2:$K$8, 6, 0) - VLOOKUP($B46, Κανονικοποίηση!$A$2:$K$8, 6, 0) &gt; 0, 1, 0)</f>
        <v>1</v>
      </c>
      <c r="H46" s="35">
        <f>IF(VLOOKUP($A46, Κανονικοποίηση!$A$2:$K$8, 7, 0) - VLOOKUP($B46, Κανονικοποίηση!$A$2:$K$8, 7, 0) &lt;= 0, 0, IF(VLOOKUP($A46, Κανονικοποίηση!$A$2:$K$8, 7, 0) - VLOOKUP($B46, Κανονικοποίηση!$A$2:$K$8, 7, 0) &gt;= $D$7, 1, (VLOOKUP($A46, Κανονικοποίηση!$A$2:$K$8, 7, 0) - VLOOKUP($B46, Κανονικοποίηση!$A$2:$K$8, 7, 0)) / $D$7))</f>
        <v>0</v>
      </c>
      <c r="I46" s="35">
        <f>IF(VLOOKUP($A46, Κανονικοποίηση!$A$2:$K$8, 8, 0) - VLOOKUP($B46, Κανονικοποίηση!$A$2:$K$8, 8, 0) &gt; 0, 1, 0)</f>
        <v>0</v>
      </c>
      <c r="J46" s="35">
        <f>IF(VLOOKUP($A46, Κανονικοποίηση!$A$2:$K$8, 9, 0) - VLOOKUP($B46, Κανονικοποίηση!$A$2:$K$8, 9, 0) &gt; 0, 1, 0)</f>
        <v>1</v>
      </c>
      <c r="K46" s="35">
        <f>IF(VLOOKUP($A46, Κανονικοποίηση!$A$2:$K$8, 10, 0) - VLOOKUP($B46, Κανονικοποίηση!$A$2:$K$8, 10, 0) &gt; 0, 1, 0)</f>
        <v>0</v>
      </c>
      <c r="L46" s="36">
        <f>IF(VLOOKUP($A46, Κανονικοποίηση!$A$2:$K$8, 11, 0) - VLOOKUP($B46, Κανονικοποίηση!$A$2:$K$8, 11, 0) &gt; 0, 1, 0)</f>
        <v>1</v>
      </c>
      <c r="M46" s="41" cm="1">
        <f t="array" ref="M46">SUMPRODUCT(C46:L46, TRANSPOSE(Βάρη!$E$2:$E$11))</f>
        <v>0.41110000000000002</v>
      </c>
      <c r="N46" s="25" cm="1">
        <f t="array" ref="N46">SUMPRODUCT(C46:L46, TRANSPOSE(Βάρη!$C$2:$C$11))</f>
        <v>0.45454545454545453</v>
      </c>
      <c r="O46" s="25" cm="1">
        <f t="array" ref="O46">SUMPRODUCT(C46:L46, TRANSPOSE(Βάρη!$F$2:$F$11))</f>
        <v>0.47272727272727272</v>
      </c>
      <c r="P46" s="41" cm="1">
        <f t="array" ref="P46">SUMPRODUCT(C46:L46, TRANSPOSE(Σύνοψη!$J$3:$J$12))</f>
        <v>1.4633501680514374</v>
      </c>
      <c r="Q46" s="25" cm="1">
        <f t="array" ref="Q46">SUMPRODUCT(C46:L46, TRANSPOSE(Βάρη!$D$2:$D$11))</f>
        <v>0.37881045928735946</v>
      </c>
    </row>
    <row r="47" spans="1:17">
      <c r="A47" s="47" t="s">
        <v>16</v>
      </c>
      <c r="B47" s="47" t="s">
        <v>12</v>
      </c>
      <c r="C47" s="35">
        <f>IF(VLOOKUP($A47, Κανονικοποίηση!$A$2:$K$8, 2, 0) - VLOOKUP($B47, Κανονικοποίηση!$A$2:$K$8, 2, 0) &lt;= $C$2, 0, IF(VLOOKUP($A47, Κανονικοποίηση!$A$2:$K$8, 2, 0) - VLOOKUP($B47, Κανονικοποίηση!$A$2:$K$8, 2, 0) &gt;= $D$2, 1, (VLOOKUP($A47, Κανονικοποίηση!$A$2:$K$8, 2, 0) - VLOOKUP($B47, Κανονικοποίηση!$A$2:$K$8, 2, 0) - $C$2) / ($D$2 - $C$2)))</f>
        <v>0</v>
      </c>
      <c r="D47" s="35">
        <f>IF(VLOOKUP($A47, Κανονικοποίηση!$A$2:$K$8, 3, 0) - VLOOKUP($B47, Κανονικοποίηση!$A$2:$K$8, 3, 0) &gt; 0, 1, 0)</f>
        <v>1</v>
      </c>
      <c r="E47" s="35">
        <f>IF(VLOOKUP($A47, Κανονικοποίηση!$A$2:$K$8, 4, 0) - VLOOKUP($B47, Κανονικοποίηση!$A$2:$K$8, 4, 0) &gt; 0, 1, 0)</f>
        <v>1</v>
      </c>
      <c r="F47" s="35">
        <f>IF(VLOOKUP($A47, Κανονικοποίηση!$A$2:$K$8, 5, 0) - VLOOKUP($B47, Κανονικοποίηση!$A$2:$K$8, 5, 0) &gt; $C$5, 1, 0)</f>
        <v>1</v>
      </c>
      <c r="G47" s="35">
        <f>IF(VLOOKUP($A47, Κανονικοποίηση!$A$2:$K$8, 6, 0) - VLOOKUP($B47, Κανονικοποίηση!$A$2:$K$8, 6, 0) &gt; 0, 1, 0)</f>
        <v>1</v>
      </c>
      <c r="H47" s="35">
        <f>IF(VLOOKUP($A47, Κανονικοποίηση!$A$2:$K$8, 7, 0) - VLOOKUP($B47, Κανονικοποίηση!$A$2:$K$8, 7, 0) &lt;= 0, 0, IF(VLOOKUP($A47, Κανονικοποίηση!$A$2:$K$8, 7, 0) - VLOOKUP($B47, Κανονικοποίηση!$A$2:$K$8, 7, 0) &gt;= $D$7, 1, (VLOOKUP($A47, Κανονικοποίηση!$A$2:$K$8, 7, 0) - VLOOKUP($B47, Κανονικοποίηση!$A$2:$K$8, 7, 0)) / $D$7))</f>
        <v>0</v>
      </c>
      <c r="I47" s="35">
        <f>IF(VLOOKUP($A47, Κανονικοποίηση!$A$2:$K$8, 8, 0) - VLOOKUP($B47, Κανονικοποίηση!$A$2:$K$8, 8, 0) &gt; 0, 1, 0)</f>
        <v>0</v>
      </c>
      <c r="J47" s="35">
        <f>IF(VLOOKUP($A47, Κανονικοποίηση!$A$2:$K$8, 9, 0) - VLOOKUP($B47, Κανονικοποίηση!$A$2:$K$8, 9, 0) &gt; 0, 1, 0)</f>
        <v>1</v>
      </c>
      <c r="K47" s="35">
        <f>IF(VLOOKUP($A47, Κανονικοποίηση!$A$2:$K$8, 10, 0) - VLOOKUP($B47, Κανονικοποίηση!$A$2:$K$8, 10, 0) &gt; 0, 1, 0)</f>
        <v>0</v>
      </c>
      <c r="L47" s="36">
        <f>IF(VLOOKUP($A47, Κανονικοποίηση!$A$2:$K$8, 11, 0) - VLOOKUP($B47, Κανονικοποίηση!$A$2:$K$8, 11, 0) &gt; 0, 1, 0)</f>
        <v>0</v>
      </c>
      <c r="M47" s="41" cm="1">
        <f t="array" ref="M47">SUMPRODUCT(C47:L47, TRANSPOSE(Βάρη!$E$2:$E$11))</f>
        <v>0.53289999999999993</v>
      </c>
      <c r="N47" s="25" cm="1">
        <f t="array" ref="N47">SUMPRODUCT(C47:L47, TRANSPOSE(Βάρη!$C$2:$C$11))</f>
        <v>0.5818181818181819</v>
      </c>
      <c r="O47" s="25" cm="1">
        <f t="array" ref="O47">SUMPRODUCT(C47:L47, TRANSPOSE(Βάρη!$F$2:$F$11))</f>
        <v>0.6</v>
      </c>
      <c r="P47" s="41" cm="1">
        <f t="array" ref="P47">SUMPRODUCT(C47:L47, TRANSPOSE(Σύνοψη!$J$3:$J$12))</f>
        <v>2.0643812870639815</v>
      </c>
      <c r="Q47" s="25" cm="1">
        <f t="array" ref="Q47">SUMPRODUCT(C47:L47, TRANSPOSE(Βάρη!$D$2:$D$11))</f>
        <v>0.45847446145508741</v>
      </c>
    </row>
    <row r="48" spans="1:17">
      <c r="A48" s="47" t="s">
        <v>16</v>
      </c>
      <c r="B48" s="47" t="s">
        <v>13</v>
      </c>
      <c r="C48" s="35">
        <f>IF(VLOOKUP($A48, Κανονικοποίηση!$A$2:$K$8, 2, 0) - VLOOKUP($B48, Κανονικοποίηση!$A$2:$K$8, 2, 0) &lt;= $C$2, 0, IF(VLOOKUP($A48, Κανονικοποίηση!$A$2:$K$8, 2, 0) - VLOOKUP($B48, Κανονικοποίηση!$A$2:$K$8, 2, 0) &gt;= $D$2, 1, (VLOOKUP($A48, Κανονικοποίηση!$A$2:$K$8, 2, 0) - VLOOKUP($B48, Κανονικοποίηση!$A$2:$K$8, 2, 0) - $C$2) / ($D$2 - $C$2)))</f>
        <v>0</v>
      </c>
      <c r="D48" s="35">
        <f>IF(VLOOKUP($A48, Κανονικοποίηση!$A$2:$K$8, 3, 0) - VLOOKUP($B48, Κανονικοποίηση!$A$2:$K$8, 3, 0) &gt; 0, 1, 0)</f>
        <v>1</v>
      </c>
      <c r="E48" s="35">
        <f>IF(VLOOKUP($A48, Κανονικοποίηση!$A$2:$K$8, 4, 0) - VLOOKUP($B48, Κανονικοποίηση!$A$2:$K$8, 4, 0) &gt; 0, 1, 0)</f>
        <v>0</v>
      </c>
      <c r="F48" s="35">
        <f>IF(VLOOKUP($A48, Κανονικοποίηση!$A$2:$K$8, 5, 0) - VLOOKUP($B48, Κανονικοποίηση!$A$2:$K$8, 5, 0) &gt; $C$5, 1, 0)</f>
        <v>1</v>
      </c>
      <c r="G48" s="35">
        <f>IF(VLOOKUP($A48, Κανονικοποίηση!$A$2:$K$8, 6, 0) - VLOOKUP($B48, Κανονικοποίηση!$A$2:$K$8, 6, 0) &gt; 0, 1, 0)</f>
        <v>0</v>
      </c>
      <c r="H48" s="35">
        <f>IF(VLOOKUP($A48, Κανονικοποίηση!$A$2:$K$8, 7, 0) - VLOOKUP($B48, Κανονικοποίηση!$A$2:$K$8, 7, 0) &lt;= 0, 0, IF(VLOOKUP($A48, Κανονικοποίηση!$A$2:$K$8, 7, 0) - VLOOKUP($B48, Κανονικοποίηση!$A$2:$K$8, 7, 0) &gt;= $D$7, 1, (VLOOKUP($A48, Κανονικοποίηση!$A$2:$K$8, 7, 0) - VLOOKUP($B48, Κανονικοποίηση!$A$2:$K$8, 7, 0)) / $D$7))</f>
        <v>0</v>
      </c>
      <c r="I48" s="35">
        <f>IF(VLOOKUP($A48, Κανονικοποίηση!$A$2:$K$8, 8, 0) - VLOOKUP($B48, Κανονικοποίηση!$A$2:$K$8, 8, 0) &gt; 0, 1, 0)</f>
        <v>0</v>
      </c>
      <c r="J48" s="35">
        <f>IF(VLOOKUP($A48, Κανονικοποίηση!$A$2:$K$8, 9, 0) - VLOOKUP($B48, Κανονικοποίηση!$A$2:$K$8, 9, 0) &gt; 0, 1, 0)</f>
        <v>1</v>
      </c>
      <c r="K48" s="35">
        <f>IF(VLOOKUP($A48, Κανονικοποίηση!$A$2:$K$8, 10, 0) - VLOOKUP($B48, Κανονικοποίηση!$A$2:$K$8, 10, 0) &gt; 0, 1, 0)</f>
        <v>1</v>
      </c>
      <c r="L48" s="36">
        <f>IF(VLOOKUP($A48, Κανονικοποίηση!$A$2:$K$8, 11, 0) - VLOOKUP($B48, Κανονικοποίηση!$A$2:$K$8, 11, 0) &gt; 0, 1, 0)</f>
        <v>0</v>
      </c>
      <c r="M48" s="41" cm="1">
        <f t="array" ref="M48">SUMPRODUCT(C48:L48, TRANSPOSE(Βάρη!$E$2:$E$11))</f>
        <v>0.33529999999999999</v>
      </c>
      <c r="N48" s="25" cm="1">
        <f t="array" ref="N48">SUMPRODUCT(C48:L48, TRANSPOSE(Βάρη!$C$2:$C$11))</f>
        <v>0.38181818181818183</v>
      </c>
      <c r="O48" s="25" cm="1">
        <f t="array" ref="O48">SUMPRODUCT(C48:L48, TRANSPOSE(Βάρη!$F$2:$F$11))</f>
        <v>0.38181818181818183</v>
      </c>
      <c r="P48" s="41" cm="1">
        <f t="array" ref="P48">SUMPRODUCT(C48:L48, TRANSPOSE(Σύνοψη!$J$3:$J$12))</f>
        <v>1.0945117615913194</v>
      </c>
      <c r="Q48" s="25" cm="1">
        <f t="array" ref="Q48">SUMPRODUCT(C48:L48, TRANSPOSE(Βάρη!$D$2:$D$11))</f>
        <v>0.32570112450887412</v>
      </c>
    </row>
    <row r="49" spans="1:17">
      <c r="A49" s="47" t="s">
        <v>16</v>
      </c>
      <c r="B49" s="47" t="s">
        <v>14</v>
      </c>
      <c r="C49" s="35">
        <f>IF(VLOOKUP($A49, Κανονικοποίηση!$A$2:$K$8, 2, 0) - VLOOKUP($B49, Κανονικοποίηση!$A$2:$K$8, 2, 0) &lt;= $C$2, 0, IF(VLOOKUP($A49, Κανονικοποίηση!$A$2:$K$8, 2, 0) - VLOOKUP($B49, Κανονικοποίηση!$A$2:$K$8, 2, 0) &gt;= $D$2, 1, (VLOOKUP($A49, Κανονικοποίηση!$A$2:$K$8, 2, 0) - VLOOKUP($B49, Κανονικοποίηση!$A$2:$K$8, 2, 0) - $C$2) / ($D$2 - $C$2)))</f>
        <v>0.66666666666666674</v>
      </c>
      <c r="D49" s="35">
        <f>IF(VLOOKUP($A49, Κανονικοποίηση!$A$2:$K$8, 3, 0) - VLOOKUP($B49, Κανονικοποίηση!$A$2:$K$8, 3, 0) &gt; 0, 1, 0)</f>
        <v>0</v>
      </c>
      <c r="E49" s="35">
        <f>IF(VLOOKUP($A49, Κανονικοποίηση!$A$2:$K$8, 4, 0) - VLOOKUP($B49, Κανονικοποίηση!$A$2:$K$8, 4, 0) &gt; 0, 1, 0)</f>
        <v>0</v>
      </c>
      <c r="F49" s="35">
        <f>IF(VLOOKUP($A49, Κανονικοποίηση!$A$2:$K$8, 5, 0) - VLOOKUP($B49, Κανονικοποίηση!$A$2:$K$8, 5, 0) &gt; $C$5, 1, 0)</f>
        <v>0</v>
      </c>
      <c r="G49" s="35">
        <f>IF(VLOOKUP($A49, Κανονικοποίηση!$A$2:$K$8, 6, 0) - VLOOKUP($B49, Κανονικοποίηση!$A$2:$K$8, 6, 0) &gt; 0, 1, 0)</f>
        <v>0</v>
      </c>
      <c r="H49" s="35">
        <f>IF(VLOOKUP($A49, Κανονικοποίηση!$A$2:$K$8, 7, 0) - VLOOKUP($B49, Κανονικοποίηση!$A$2:$K$8, 7, 0) &lt;= 0, 0, IF(VLOOKUP($A49, Κανονικοποίηση!$A$2:$K$8, 7, 0) - VLOOKUP($B49, Κανονικοποίηση!$A$2:$K$8, 7, 0) &gt;= $D$7, 1, (VLOOKUP($A49, Κανονικοποίηση!$A$2:$K$8, 7, 0) - VLOOKUP($B49, Κανονικοποίηση!$A$2:$K$8, 7, 0)) / $D$7))</f>
        <v>1</v>
      </c>
      <c r="I49" s="35">
        <f>IF(VLOOKUP($A49, Κανονικοποίηση!$A$2:$K$8, 8, 0) - VLOOKUP($B49, Κανονικοποίηση!$A$2:$K$8, 8, 0) &gt; 0, 1, 0)</f>
        <v>0</v>
      </c>
      <c r="J49" s="35">
        <f>IF(VLOOKUP($A49, Κανονικοποίηση!$A$2:$K$8, 9, 0) - VLOOKUP($B49, Κανονικοποίηση!$A$2:$K$8, 9, 0) &gt; 0, 1, 0)</f>
        <v>0</v>
      </c>
      <c r="K49" s="35">
        <f>IF(VLOOKUP($A49, Κανονικοποίηση!$A$2:$K$8, 10, 0) - VLOOKUP($B49, Κανονικοποίηση!$A$2:$K$8, 10, 0) &gt; 0, 1, 0)</f>
        <v>1</v>
      </c>
      <c r="L49" s="36">
        <f>IF(VLOOKUP($A49, Κανονικοποίηση!$A$2:$K$8, 11, 0) - VLOOKUP($B49, Κανονικοποίηση!$A$2:$K$8, 11, 0) &gt; 0, 1, 0)</f>
        <v>0</v>
      </c>
      <c r="M49" s="41" cm="1">
        <f t="array" ref="M49">SUMPRODUCT(C49:L49, TRANSPOSE(Βάρη!$E$2:$E$11))</f>
        <v>0.31476666666666669</v>
      </c>
      <c r="N49" s="25" cm="1">
        <f t="array" ref="N49">SUMPRODUCT(C49:L49, TRANSPOSE(Βάρη!$C$2:$C$11))</f>
        <v>0.28484848484848485</v>
      </c>
      <c r="O49" s="25" cm="1">
        <f t="array" ref="O49">SUMPRODUCT(C49:L49, TRANSPOSE(Βάρη!$F$2:$F$11))</f>
        <v>0.24848484848484853</v>
      </c>
      <c r="P49" s="41" cm="1">
        <f t="array" ref="P49">SUMPRODUCT(C49:L49, TRANSPOSE(Σύνοψη!$J$3:$J$12))</f>
        <v>0.98078144735210926</v>
      </c>
      <c r="Q49" s="25" cm="1">
        <f t="array" ref="Q49">SUMPRODUCT(C49:L49, TRANSPOSE(Βάρη!$D$2:$D$11))</f>
        <v>0.350900961929278</v>
      </c>
    </row>
    <row r="50" spans="1:17">
      <c r="A50" s="47" t="s">
        <v>16</v>
      </c>
      <c r="B50" s="47" t="s">
        <v>15</v>
      </c>
      <c r="C50" s="35">
        <f>IF(VLOOKUP($A50, Κανονικοποίηση!$A$2:$K$8, 2, 0) - VLOOKUP($B50, Κανονικοποίηση!$A$2:$K$8, 2, 0) &lt;= $C$2, 0, IF(VLOOKUP($A50, Κανονικοποίηση!$A$2:$K$8, 2, 0) - VLOOKUP($B50, Κανονικοποίηση!$A$2:$K$8, 2, 0) &gt;= $D$2, 1, (VLOOKUP($A50, Κανονικοποίηση!$A$2:$K$8, 2, 0) - VLOOKUP($B50, Κανονικοποίηση!$A$2:$K$8, 2, 0) - $C$2) / ($D$2 - $C$2)))</f>
        <v>0</v>
      </c>
      <c r="D50" s="35">
        <f>IF(VLOOKUP($A50, Κανονικοποίηση!$A$2:$K$8, 3, 0) - VLOOKUP($B50, Κανονικοποίηση!$A$2:$K$8, 3, 0) &gt; 0, 1, 0)</f>
        <v>1</v>
      </c>
      <c r="E50" s="35">
        <f>IF(VLOOKUP($A50, Κανονικοποίηση!$A$2:$K$8, 4, 0) - VLOOKUP($B50, Κανονικοποίηση!$A$2:$K$8, 4, 0) &gt; 0, 1, 0)</f>
        <v>1</v>
      </c>
      <c r="F50" s="35">
        <f>IF(VLOOKUP($A50, Κανονικοποίηση!$A$2:$K$8, 5, 0) - VLOOKUP($B50, Κανονικοποίηση!$A$2:$K$8, 5, 0) &gt; $C$5, 1, 0)</f>
        <v>1</v>
      </c>
      <c r="G50" s="35">
        <f>IF(VLOOKUP($A50, Κανονικοποίηση!$A$2:$K$8, 6, 0) - VLOOKUP($B50, Κανονικοποίηση!$A$2:$K$8, 6, 0) &gt; 0, 1, 0)</f>
        <v>1</v>
      </c>
      <c r="H50" s="35">
        <f>IF(VLOOKUP($A50, Κανονικοποίηση!$A$2:$K$8, 7, 0) - VLOOKUP($B50, Κανονικοποίηση!$A$2:$K$8, 7, 0) &lt;= 0, 0, IF(VLOOKUP($A50, Κανονικοποίηση!$A$2:$K$8, 7, 0) - VLOOKUP($B50, Κανονικοποίηση!$A$2:$K$8, 7, 0) &gt;= $D$7, 1, (VLOOKUP($A50, Κανονικοποίηση!$A$2:$K$8, 7, 0) - VLOOKUP($B50, Κανονικοποίηση!$A$2:$K$8, 7, 0)) / $D$7))</f>
        <v>0</v>
      </c>
      <c r="I50" s="35">
        <f>IF(VLOOKUP($A50, Κανονικοποίηση!$A$2:$K$8, 8, 0) - VLOOKUP($B50, Κανονικοποίηση!$A$2:$K$8, 8, 0) &gt; 0, 1, 0)</f>
        <v>0</v>
      </c>
      <c r="J50" s="35">
        <f>IF(VLOOKUP($A50, Κανονικοποίηση!$A$2:$K$8, 9, 0) - VLOOKUP($B50, Κανονικοποίηση!$A$2:$K$8, 9, 0) &gt; 0, 1, 0)</f>
        <v>1</v>
      </c>
      <c r="K50" s="35">
        <f>IF(VLOOKUP($A50, Κανονικοποίηση!$A$2:$K$8, 10, 0) - VLOOKUP($B50, Κανονικοποίηση!$A$2:$K$8, 10, 0) &gt; 0, 1, 0)</f>
        <v>1</v>
      </c>
      <c r="L50" s="36">
        <f>IF(VLOOKUP($A50, Κανονικοποίηση!$A$2:$K$8, 11, 0) - VLOOKUP($B50, Κανονικοποίηση!$A$2:$K$8, 11, 0) &gt; 0, 1, 0)</f>
        <v>1</v>
      </c>
      <c r="M50" s="41" cm="1">
        <f t="array" ref="M50">SUMPRODUCT(C50:L50, TRANSPOSE(Βάρη!$E$2:$E$11))</f>
        <v>0.56389999999999996</v>
      </c>
      <c r="N50" s="25" cm="1">
        <f t="array" ref="N50">SUMPRODUCT(C50:L50, TRANSPOSE(Βάρη!$C$2:$C$11))</f>
        <v>0.63636363636363646</v>
      </c>
      <c r="O50" s="25" cm="1">
        <f t="array" ref="O50">SUMPRODUCT(C50:L50, TRANSPOSE(Βάρη!$F$2:$F$11))</f>
        <v>0.65454545454545454</v>
      </c>
      <c r="P50" s="41" cm="1">
        <f t="array" ref="P50">SUMPRODUCT(C50:L50, TRANSPOSE(Σύνοψη!$J$3:$J$12))</f>
        <v>2.0643812870639815</v>
      </c>
      <c r="Q50" s="25" cm="1">
        <f t="array" ref="Q50">SUMPRODUCT(C50:L50, TRANSPOSE(Βάρη!$D$2:$D$11))</f>
        <v>0.53055141579731746</v>
      </c>
    </row>
    <row r="51" spans="1:17">
      <c r="A51" s="47" t="s">
        <v>16</v>
      </c>
      <c r="B51" s="47" t="s">
        <v>17</v>
      </c>
      <c r="C51" s="35">
        <f>IF(VLOOKUP($A51, Κανονικοποίηση!$A$2:$K$8, 2, 0) - VLOOKUP($B51, Κανονικοποίηση!$A$2:$K$8, 2, 0) &lt;= $C$2, 0, IF(VLOOKUP($A51, Κανονικοποίηση!$A$2:$K$8, 2, 0) - VLOOKUP($B51, Κανονικοποίηση!$A$2:$K$8, 2, 0) &gt;= $D$2, 1, (VLOOKUP($A51, Κανονικοποίηση!$A$2:$K$8, 2, 0) - VLOOKUP($B51, Κανονικοποίηση!$A$2:$K$8, 2, 0) - $C$2) / ($D$2 - $C$2)))</f>
        <v>0</v>
      </c>
      <c r="D51" s="35">
        <f>IF(VLOOKUP($A51, Κανονικοποίηση!$A$2:$K$8, 3, 0) - VLOOKUP($B51, Κανονικοποίηση!$A$2:$K$8, 3, 0) &gt; 0, 1, 0)</f>
        <v>1</v>
      </c>
      <c r="E51" s="35">
        <f>IF(VLOOKUP($A51, Κανονικοποίηση!$A$2:$K$8, 4, 0) - VLOOKUP($B51, Κανονικοποίηση!$A$2:$K$8, 4, 0) &gt; 0, 1, 0)</f>
        <v>1</v>
      </c>
      <c r="F51" s="35">
        <f>IF(VLOOKUP($A51, Κανονικοποίηση!$A$2:$K$8, 5, 0) - VLOOKUP($B51, Κανονικοποίηση!$A$2:$K$8, 5, 0) &gt; $C$5, 1, 0)</f>
        <v>1</v>
      </c>
      <c r="G51" s="35">
        <f>IF(VLOOKUP($A51, Κανονικοποίηση!$A$2:$K$8, 6, 0) - VLOOKUP($B51, Κανονικοποίηση!$A$2:$K$8, 6, 0) &gt; 0, 1, 0)</f>
        <v>1</v>
      </c>
      <c r="H51" s="35">
        <f>IF(VLOOKUP($A51, Κανονικοποίηση!$A$2:$K$8, 7, 0) - VLOOKUP($B51, Κανονικοποίηση!$A$2:$K$8, 7, 0) &lt;= 0, 0, IF(VLOOKUP($A51, Κανονικοποίηση!$A$2:$K$8, 7, 0) - VLOOKUP($B51, Κανονικοποίηση!$A$2:$K$8, 7, 0) &gt;= $D$7, 1, (VLOOKUP($A51, Κανονικοποίηση!$A$2:$K$8, 7, 0) - VLOOKUP($B51, Κανονικοποίηση!$A$2:$K$8, 7, 0)) / $D$7))</f>
        <v>0</v>
      </c>
      <c r="I51" s="35">
        <f>IF(VLOOKUP($A51, Κανονικοποίηση!$A$2:$K$8, 8, 0) - VLOOKUP($B51, Κανονικοποίηση!$A$2:$K$8, 8, 0) &gt; 0, 1, 0)</f>
        <v>0</v>
      </c>
      <c r="J51" s="35">
        <f>IF(VLOOKUP($A51, Κανονικοποίηση!$A$2:$K$8, 9, 0) - VLOOKUP($B51, Κανονικοποίηση!$A$2:$K$8, 9, 0) &gt; 0, 1, 0)</f>
        <v>1</v>
      </c>
      <c r="K51" s="35">
        <f>IF(VLOOKUP($A51, Κανονικοποίηση!$A$2:$K$8, 10, 0) - VLOOKUP($B51, Κανονικοποίηση!$A$2:$K$8, 10, 0) &gt; 0, 1, 0)</f>
        <v>1</v>
      </c>
      <c r="L51" s="36">
        <f>IF(VLOOKUP($A51, Κανονικοποίηση!$A$2:$K$8, 11, 0) - VLOOKUP($B51, Κανονικοποίηση!$A$2:$K$8, 11, 0) &gt; 0, 1, 0)</f>
        <v>1</v>
      </c>
      <c r="M51" s="41" cm="1">
        <f t="array" ref="M51">SUMPRODUCT(C51:L51, TRANSPOSE(Βάρη!$E$2:$E$11))</f>
        <v>0.56389999999999996</v>
      </c>
      <c r="N51" s="25" cm="1">
        <f t="array" ref="N51">SUMPRODUCT(C51:L51, TRANSPOSE(Βάρη!$C$2:$C$11))</f>
        <v>0.63636363636363646</v>
      </c>
      <c r="O51" s="25" cm="1">
        <f t="array" ref="O51">SUMPRODUCT(C51:L51, TRANSPOSE(Βάρη!$F$2:$F$11))</f>
        <v>0.65454545454545454</v>
      </c>
      <c r="P51" s="41" cm="1">
        <f t="array" ref="P51">SUMPRODUCT(C51:L51, TRANSPOSE(Σύνοψη!$J$3:$J$12))</f>
        <v>2.0643812870639815</v>
      </c>
      <c r="Q51" s="25" cm="1">
        <f t="array" ref="Q51">SUMPRODUCT(C51:L51, TRANSPOSE(Βάρη!$D$2:$D$11))</f>
        <v>0.53055141579731746</v>
      </c>
    </row>
    <row r="52" spans="1:17">
      <c r="A52" s="47" t="s">
        <v>17</v>
      </c>
      <c r="B52" s="47" t="s">
        <v>11</v>
      </c>
      <c r="C52" s="35">
        <f>IF(VLOOKUP($A52, Κανονικοποίηση!$A$2:$K$8, 2, 0) - VLOOKUP($B52, Κανονικοποίηση!$A$2:$K$8, 2, 0) &lt;= $C$2, 0, IF(VLOOKUP($A52, Κανονικοποίηση!$A$2:$K$8, 2, 0) - VLOOKUP($B52, Κανονικοποίηση!$A$2:$K$8, 2, 0) &gt;= $D$2, 1, (VLOOKUP($A52, Κανονικοποίηση!$A$2:$K$8, 2, 0) - VLOOKUP($B52, Κανονικοποίηση!$A$2:$K$8, 2, 0) - $C$2) / ($D$2 - $C$2)))</f>
        <v>1</v>
      </c>
      <c r="D52" s="35">
        <f>IF(VLOOKUP($A52, Κανονικοποίηση!$A$2:$K$8, 3, 0) - VLOOKUP($B52, Κανονικοποίηση!$A$2:$K$8, 3, 0) &gt; 0, 1, 0)</f>
        <v>0</v>
      </c>
      <c r="E52" s="35">
        <f>IF(VLOOKUP($A52, Κανονικοποίηση!$A$2:$K$8, 4, 0) - VLOOKUP($B52, Κανονικοποίηση!$A$2:$K$8, 4, 0) &gt; 0, 1, 0)</f>
        <v>0</v>
      </c>
      <c r="F52" s="35">
        <f>IF(VLOOKUP($A52, Κανονικοποίηση!$A$2:$K$8, 5, 0) - VLOOKUP($B52, Κανονικοποίηση!$A$2:$K$8, 5, 0) &gt; $C$5, 1, 0)</f>
        <v>0</v>
      </c>
      <c r="G52" s="35">
        <f>IF(VLOOKUP($A52, Κανονικοποίηση!$A$2:$K$8, 6, 0) - VLOOKUP($B52, Κανονικοποίηση!$A$2:$K$8, 6, 0) &gt; 0, 1, 0)</f>
        <v>0</v>
      </c>
      <c r="H52" s="35">
        <f>IF(VLOOKUP($A52, Κανονικοποίηση!$A$2:$K$8, 7, 0) - VLOOKUP($B52, Κανονικοποίηση!$A$2:$K$8, 7, 0) &lt;= 0, 0, IF(VLOOKUP($A52, Κανονικοποίηση!$A$2:$K$8, 7, 0) - VLOOKUP($B52, Κανονικοποίηση!$A$2:$K$8, 7, 0) &gt;= $D$7, 1, (VLOOKUP($A52, Κανονικοποίηση!$A$2:$K$8, 7, 0) - VLOOKUP($B52, Κανονικοποίηση!$A$2:$K$8, 7, 0)) / $D$7))</f>
        <v>0.33333333333333326</v>
      </c>
      <c r="I52" s="35">
        <f>IF(VLOOKUP($A52, Κανονικοποίηση!$A$2:$K$8, 8, 0) - VLOOKUP($B52, Κανονικοποίηση!$A$2:$K$8, 8, 0) &gt; 0, 1, 0)</f>
        <v>1</v>
      </c>
      <c r="J52" s="35">
        <f>IF(VLOOKUP($A52, Κανονικοποίηση!$A$2:$K$8, 9, 0) - VLOOKUP($B52, Κανονικοποίηση!$A$2:$K$8, 9, 0) &gt; 0, 1, 0)</f>
        <v>0</v>
      </c>
      <c r="K52" s="35">
        <f>IF(VLOOKUP($A52, Κανονικοποίηση!$A$2:$K$8, 10, 0) - VLOOKUP($B52, Κανονικοποίηση!$A$2:$K$8, 10, 0) &gt; 0, 1, 0)</f>
        <v>0</v>
      </c>
      <c r="L52" s="36">
        <f>IF(VLOOKUP($A52, Κανονικοποίηση!$A$2:$K$8, 11, 0) - VLOOKUP($B52, Κανονικοποίηση!$A$2:$K$8, 11, 0) &gt; 0, 1, 0)</f>
        <v>0</v>
      </c>
      <c r="M52" s="41" cm="1">
        <f t="array" ref="M52">SUMPRODUCT(C52:L52, TRANSPOSE(Βάρη!$E$2:$E$11))</f>
        <v>0.36303333333333332</v>
      </c>
      <c r="N52" s="25" cm="1">
        <f t="array" ref="N52">SUMPRODUCT(C52:L52, TRANSPOSE(Βάρη!$C$2:$C$11))</f>
        <v>0.27878787878787881</v>
      </c>
      <c r="O52" s="25" cm="1">
        <f t="array" ref="O52">SUMPRODUCT(C52:L52, TRANSPOSE(Βάρη!$F$2:$F$11))</f>
        <v>0.28484848484848485</v>
      </c>
      <c r="P52" s="41" cm="1">
        <f t="array" ref="P52">SUMPRODUCT(C52:L52, TRANSPOSE(Σύνοψη!$J$3:$J$12))</f>
        <v>1.1906663204774222</v>
      </c>
      <c r="Q52" s="25" cm="1">
        <f t="array" ref="Q52">SUMPRODUCT(C52:L52, TRANSPOSE(Βάρη!$D$2:$D$11))</f>
        <v>0.41254572551144836</v>
      </c>
    </row>
    <row r="53" spans="1:17">
      <c r="A53" s="47" t="s">
        <v>17</v>
      </c>
      <c r="B53" s="47" t="s">
        <v>12</v>
      </c>
      <c r="C53" s="35">
        <f>IF(VLOOKUP($A53, Κανονικοποίηση!$A$2:$K$8, 2, 0) - VLOOKUP($B53, Κανονικοποίηση!$A$2:$K$8, 2, 0) &lt;= $C$2, 0, IF(VLOOKUP($A53, Κανονικοποίηση!$A$2:$K$8, 2, 0) - VLOOKUP($B53, Κανονικοποίηση!$A$2:$K$8, 2, 0) &gt;= $D$2, 1, (VLOOKUP($A53, Κανονικοποίηση!$A$2:$K$8, 2, 0) - VLOOKUP($B53, Κανονικοποίηση!$A$2:$K$8, 2, 0) - $C$2) / ($D$2 - $C$2)))</f>
        <v>0.50000000000000033</v>
      </c>
      <c r="D53" s="35">
        <f>IF(VLOOKUP($A53, Κανονικοποίηση!$A$2:$K$8, 3, 0) - VLOOKUP($B53, Κανονικοποίηση!$A$2:$K$8, 3, 0) &gt; 0, 1, 0)</f>
        <v>0</v>
      </c>
      <c r="E53" s="35">
        <f>IF(VLOOKUP($A53, Κανονικοποίηση!$A$2:$K$8, 4, 0) - VLOOKUP($B53, Κανονικοποίηση!$A$2:$K$8, 4, 0) &gt; 0, 1, 0)</f>
        <v>0</v>
      </c>
      <c r="F53" s="35">
        <f>IF(VLOOKUP($A53, Κανονικοποίηση!$A$2:$K$8, 5, 0) - VLOOKUP($B53, Κανονικοποίηση!$A$2:$K$8, 5, 0) &gt; $C$5, 1, 0)</f>
        <v>0</v>
      </c>
      <c r="G53" s="35">
        <f>IF(VLOOKUP($A53, Κανονικοποίηση!$A$2:$K$8, 6, 0) - VLOOKUP($B53, Κανονικοποίηση!$A$2:$K$8, 6, 0) &gt; 0, 1, 0)</f>
        <v>0</v>
      </c>
      <c r="H53" s="35">
        <f>IF(VLOOKUP($A53, Κανονικοποίηση!$A$2:$K$8, 7, 0) - VLOOKUP($B53, Κανονικοποίηση!$A$2:$K$8, 7, 0) &lt;= 0, 0, IF(VLOOKUP($A53, Κανονικοποίηση!$A$2:$K$8, 7, 0) - VLOOKUP($B53, Κανονικοποίηση!$A$2:$K$8, 7, 0) &gt;= $D$7, 1, (VLOOKUP($A53, Κανονικοποίηση!$A$2:$K$8, 7, 0) - VLOOKUP($B53, Κανονικοποίηση!$A$2:$K$8, 7, 0)) / $D$7))</f>
        <v>1</v>
      </c>
      <c r="I53" s="35">
        <f>IF(VLOOKUP($A53, Κανονικοποίηση!$A$2:$K$8, 8, 0) - VLOOKUP($B53, Κανονικοποίηση!$A$2:$K$8, 8, 0) &gt; 0, 1, 0)</f>
        <v>0</v>
      </c>
      <c r="J53" s="35">
        <f>IF(VLOOKUP($A53, Κανονικοποίηση!$A$2:$K$8, 9, 0) - VLOOKUP($B53, Κανονικοποίηση!$A$2:$K$8, 9, 0) &gt; 0, 1, 0)</f>
        <v>0</v>
      </c>
      <c r="K53" s="35">
        <f>IF(VLOOKUP($A53, Κανονικοποίηση!$A$2:$K$8, 10, 0) - VLOOKUP($B53, Κανονικοποίηση!$A$2:$K$8, 10, 0) &gt; 0, 1, 0)</f>
        <v>0</v>
      </c>
      <c r="L53" s="36">
        <f>IF(VLOOKUP($A53, Κανονικοποίηση!$A$2:$K$8, 11, 0) - VLOOKUP($B53, Κανονικοποίηση!$A$2:$K$8, 11, 0) &gt; 0, 1, 0)</f>
        <v>0</v>
      </c>
      <c r="M53" s="41" cm="1">
        <f t="array" ref="M53">SUMPRODUCT(C53:L53, TRANSPOSE(Βάρη!$E$2:$E$11))</f>
        <v>0.25605000000000011</v>
      </c>
      <c r="N53" s="25" cm="1">
        <f t="array" ref="N53">SUMPRODUCT(C53:L53, TRANSPOSE(Βάρη!$C$2:$C$11))</f>
        <v>0.21818181818181823</v>
      </c>
      <c r="O53" s="25" cm="1">
        <f t="array" ref="O53">SUMPRODUCT(C53:L53, TRANSPOSE(Βάρη!$F$2:$F$11))</f>
        <v>0.18181818181818188</v>
      </c>
      <c r="P53" s="41" cm="1">
        <f t="array" ref="P53">SUMPRODUCT(C53:L53, TRANSPOSE(Σύνοψη!$J$3:$J$12))</f>
        <v>0.88753566135820239</v>
      </c>
      <c r="Q53" s="25" cm="1">
        <f t="array" ref="Q53">SUMPRODUCT(C53:L53, TRANSPOSE(Βάρη!$D$2:$D$11))</f>
        <v>0.25606286411055423</v>
      </c>
    </row>
    <row r="54" spans="1:17">
      <c r="A54" s="47" t="s">
        <v>17</v>
      </c>
      <c r="B54" s="47" t="s">
        <v>13</v>
      </c>
      <c r="C54" s="35">
        <f>IF(VLOOKUP($A54, Κανονικοποίηση!$A$2:$K$8, 2, 0) - VLOOKUP($B54, Κανονικοποίηση!$A$2:$K$8, 2, 0) &lt;= $C$2, 0, IF(VLOOKUP($A54, Κανονικοποίηση!$A$2:$K$8, 2, 0) - VLOOKUP($B54, Κανονικοποίηση!$A$2:$K$8, 2, 0) &gt;= $D$2, 1, (VLOOKUP($A54, Κανονικοποίηση!$A$2:$K$8, 2, 0) - VLOOKUP($B54, Κανονικοποίηση!$A$2:$K$8, 2, 0) - $C$2) / ($D$2 - $C$2)))</f>
        <v>0</v>
      </c>
      <c r="D54" s="35">
        <f>IF(VLOOKUP($A54, Κανονικοποίηση!$A$2:$K$8, 3, 0) - VLOOKUP($B54, Κανονικοποίηση!$A$2:$K$8, 3, 0) &gt; 0, 1, 0)</f>
        <v>0</v>
      </c>
      <c r="E54" s="35">
        <f>IF(VLOOKUP($A54, Κανονικοποίηση!$A$2:$K$8, 4, 0) - VLOOKUP($B54, Κανονικοποίηση!$A$2:$K$8, 4, 0) &gt; 0, 1, 0)</f>
        <v>0</v>
      </c>
      <c r="F54" s="35">
        <f>IF(VLOOKUP($A54, Κανονικοποίηση!$A$2:$K$8, 5, 0) - VLOOKUP($B54, Κανονικοποίηση!$A$2:$K$8, 5, 0) &gt; $C$5, 1, 0)</f>
        <v>0</v>
      </c>
      <c r="G54" s="35">
        <f>IF(VLOOKUP($A54, Κανονικοποίηση!$A$2:$K$8, 6, 0) - VLOOKUP($B54, Κανονικοποίηση!$A$2:$K$8, 6, 0) &gt; 0, 1, 0)</f>
        <v>0</v>
      </c>
      <c r="H54" s="35">
        <f>IF(VLOOKUP($A54, Κανονικοποίηση!$A$2:$K$8, 7, 0) - VLOOKUP($B54, Κανονικοποίηση!$A$2:$K$8, 7, 0) &lt;= 0, 0, IF(VLOOKUP($A54, Κανονικοποίηση!$A$2:$K$8, 7, 0) - VLOOKUP($B54, Κανονικοποίηση!$A$2:$K$8, 7, 0) &gt;= $D$7, 1, (VLOOKUP($A54, Κανονικοποίηση!$A$2:$K$8, 7, 0) - VLOOKUP($B54, Κανονικοποίηση!$A$2:$K$8, 7, 0)) / $D$7))</f>
        <v>8.3333333333333412E-2</v>
      </c>
      <c r="I54" s="35">
        <f>IF(VLOOKUP($A54, Κανονικοποίηση!$A$2:$K$8, 8, 0) - VLOOKUP($B54, Κανονικοποίηση!$A$2:$K$8, 8, 0) &gt; 0, 1, 0)</f>
        <v>1</v>
      </c>
      <c r="J54" s="35">
        <f>IF(VLOOKUP($A54, Κανονικοποίηση!$A$2:$K$8, 9, 0) - VLOOKUP($B54, Κανονικοποίηση!$A$2:$K$8, 9, 0) &gt; 0, 1, 0)</f>
        <v>0</v>
      </c>
      <c r="K54" s="35">
        <f>IF(VLOOKUP($A54, Κανονικοποίηση!$A$2:$K$8, 10, 0) - VLOOKUP($B54, Κανονικοποίηση!$A$2:$K$8, 10, 0) &gt; 0, 1, 0)</f>
        <v>0</v>
      </c>
      <c r="L54" s="36">
        <f>IF(VLOOKUP($A54, Κανονικοποίηση!$A$2:$K$8, 11, 0) - VLOOKUP($B54, Κανονικοποίηση!$A$2:$K$8, 11, 0) &gt; 0, 1, 0)</f>
        <v>0</v>
      </c>
      <c r="M54" s="41" cm="1">
        <f t="array" ref="M54">SUMPRODUCT(C54:L54, TRANSPOSE(Βάρη!$E$2:$E$11))</f>
        <v>4.2733333333333338E-2</v>
      </c>
      <c r="N54" s="25" cm="1">
        <f t="array" ref="N54">SUMPRODUCT(C54:L54, TRANSPOSE(Βάρη!$C$2:$C$11))</f>
        <v>6.5151515151515155E-2</v>
      </c>
      <c r="O54" s="25" cm="1">
        <f t="array" ref="O54">SUMPRODUCT(C54:L54, TRANSPOSE(Βάρη!$F$2:$F$11))</f>
        <v>8.0303030303030307E-2</v>
      </c>
      <c r="P54" s="41" cm="1">
        <f t="array" ref="P54">SUMPRODUCT(C54:L54, TRANSPOSE(Σύνοψη!$J$3:$J$12))</f>
        <v>0.47924202866986065</v>
      </c>
      <c r="Q54" s="25" cm="1">
        <f t="array" ref="Q54">SUMPRODUCT(C54:L54, TRANSPOSE(Βάρη!$D$2:$D$11))</f>
        <v>4.9790001354829978E-2</v>
      </c>
    </row>
    <row r="55" spans="1:17">
      <c r="A55" s="47" t="s">
        <v>17</v>
      </c>
      <c r="B55" s="47" t="s">
        <v>14</v>
      </c>
      <c r="C55" s="35">
        <f>IF(VLOOKUP($A55, Κανονικοποίηση!$A$2:$K$8, 2, 0) - VLOOKUP($B55, Κανονικοποίηση!$A$2:$K$8, 2, 0) &lt;= $C$2, 0, IF(VLOOKUP($A55, Κανονικοποίηση!$A$2:$K$8, 2, 0) - VLOOKUP($B55, Κανονικοποίηση!$A$2:$K$8, 2, 0) &gt;= $D$2, 1, (VLOOKUP($A55, Κανονικοποίηση!$A$2:$K$8, 2, 0) - VLOOKUP($B55, Κανονικοποίηση!$A$2:$K$8, 2, 0) - $C$2) / ($D$2 - $C$2)))</f>
        <v>1</v>
      </c>
      <c r="D55" s="35">
        <f>IF(VLOOKUP($A55, Κανονικοποίηση!$A$2:$K$8, 3, 0) - VLOOKUP($B55, Κανονικοποίηση!$A$2:$K$8, 3, 0) &gt; 0, 1, 0)</f>
        <v>0</v>
      </c>
      <c r="E55" s="35">
        <f>IF(VLOOKUP($A55, Κανονικοποίηση!$A$2:$K$8, 4, 0) - VLOOKUP($B55, Κανονικοποίηση!$A$2:$K$8, 4, 0) &gt; 0, 1, 0)</f>
        <v>0</v>
      </c>
      <c r="F55" s="35">
        <f>IF(VLOOKUP($A55, Κανονικοποίηση!$A$2:$K$8, 5, 0) - VLOOKUP($B55, Κανονικοποίηση!$A$2:$K$8, 5, 0) &gt; $C$5, 1, 0)</f>
        <v>0</v>
      </c>
      <c r="G55" s="35">
        <f>IF(VLOOKUP($A55, Κανονικοποίηση!$A$2:$K$8, 6, 0) - VLOOKUP($B55, Κανονικοποίηση!$A$2:$K$8, 6, 0) &gt; 0, 1, 0)</f>
        <v>0</v>
      </c>
      <c r="H55" s="35">
        <f>IF(VLOOKUP($A55, Κανονικοποίηση!$A$2:$K$8, 7, 0) - VLOOKUP($B55, Κανονικοποίηση!$A$2:$K$8, 7, 0) &lt;= 0, 0, IF(VLOOKUP($A55, Κανονικοποίηση!$A$2:$K$8, 7, 0) - VLOOKUP($B55, Κανονικοποίηση!$A$2:$K$8, 7, 0) &gt;= $D$7, 1, (VLOOKUP($A55, Κανονικοποίηση!$A$2:$K$8, 7, 0) - VLOOKUP($B55, Κανονικοποίηση!$A$2:$K$8, 7, 0)) / $D$7))</f>
        <v>1</v>
      </c>
      <c r="I55" s="35">
        <f>IF(VLOOKUP($A55, Κανονικοποίηση!$A$2:$K$8, 8, 0) - VLOOKUP($B55, Κανονικοποίηση!$A$2:$K$8, 8, 0) &gt; 0, 1, 0)</f>
        <v>1</v>
      </c>
      <c r="J55" s="35">
        <f>IF(VLOOKUP($A55, Κανονικοποίηση!$A$2:$K$8, 9, 0) - VLOOKUP($B55, Κανονικοποίηση!$A$2:$K$8, 9, 0) &gt; 0, 1, 0)</f>
        <v>0</v>
      </c>
      <c r="K55" s="35">
        <f>IF(VLOOKUP($A55, Κανονικοποίηση!$A$2:$K$8, 10, 0) - VLOOKUP($B55, Κανονικοποίηση!$A$2:$K$8, 10, 0) &gt; 0, 1, 0)</f>
        <v>0</v>
      </c>
      <c r="L55" s="36">
        <f>IF(VLOOKUP($A55, Κανονικοποίηση!$A$2:$K$8, 11, 0) - VLOOKUP($B55, Κανονικοποίηση!$A$2:$K$8, 11, 0) &gt; 0, 1, 0)</f>
        <v>0</v>
      </c>
      <c r="M55" s="41" cm="1">
        <f t="array" ref="M55">SUMPRODUCT(C55:L55, TRANSPOSE(Βάρη!$E$2:$E$11))</f>
        <v>0.43609999999999999</v>
      </c>
      <c r="N55" s="25" cm="1">
        <f t="array" ref="N55">SUMPRODUCT(C55:L55, TRANSPOSE(Βάρη!$C$2:$C$11))</f>
        <v>0.36363636363636365</v>
      </c>
      <c r="O55" s="25" cm="1">
        <f t="array" ref="O55">SUMPRODUCT(C55:L55, TRANSPOSE(Βάρη!$F$2:$F$11))</f>
        <v>0.34545454545454546</v>
      </c>
      <c r="P55" s="41" cm="1">
        <f t="array" ref="P55">SUMPRODUCT(C55:L55, TRANSPOSE(Σύνοψη!$J$3:$J$12))</f>
        <v>1.5958651893950766</v>
      </c>
      <c r="Q55" s="25" cm="1">
        <f t="array" ref="Q55">SUMPRODUCT(C55:L55, TRANSPOSE(Βάρη!$D$2:$D$11))</f>
        <v>0.46944858420268265</v>
      </c>
    </row>
    <row r="56" spans="1:17">
      <c r="A56" s="47" t="s">
        <v>17</v>
      </c>
      <c r="B56" s="47" t="s">
        <v>15</v>
      </c>
      <c r="C56" s="35">
        <f>IF(VLOOKUP($A56, Κανονικοποίηση!$A$2:$K$8, 2, 0) - VLOOKUP($B56, Κανονικοποίηση!$A$2:$K$8, 2, 0) &lt;= $C$2, 0, IF(VLOOKUP($A56, Κανονικοποίηση!$A$2:$K$8, 2, 0) - VLOOKUP($B56, Κανονικοποίηση!$A$2:$K$8, 2, 0) &gt;= $D$2, 1, (VLOOKUP($A56, Κανονικοποίηση!$A$2:$K$8, 2, 0) - VLOOKUP($B56, Κανονικοποίηση!$A$2:$K$8, 2, 0) - $C$2) / ($D$2 - $C$2)))</f>
        <v>0</v>
      </c>
      <c r="D56" s="35">
        <f>IF(VLOOKUP($A56, Κανονικοποίηση!$A$2:$K$8, 3, 0) - VLOOKUP($B56, Κανονικοποίηση!$A$2:$K$8, 3, 0) &gt; 0, 1, 0)</f>
        <v>1</v>
      </c>
      <c r="E56" s="35">
        <f>IF(VLOOKUP($A56, Κανονικοποίηση!$A$2:$K$8, 4, 0) - VLOOKUP($B56, Κανονικοποίηση!$A$2:$K$8, 4, 0) &gt; 0, 1, 0)</f>
        <v>1</v>
      </c>
      <c r="F56" s="35">
        <f>IF(VLOOKUP($A56, Κανονικοποίηση!$A$2:$K$8, 5, 0) - VLOOKUP($B56, Κανονικοποίηση!$A$2:$K$8, 5, 0) &gt; $C$5, 1, 0)</f>
        <v>0</v>
      </c>
      <c r="G56" s="35">
        <f>IF(VLOOKUP($A56, Κανονικοποίηση!$A$2:$K$8, 6, 0) - VLOOKUP($B56, Κανονικοποίηση!$A$2:$K$8, 6, 0) &gt; 0, 1, 0)</f>
        <v>0</v>
      </c>
      <c r="H56" s="35">
        <f>IF(VLOOKUP($A56, Κανονικοποίηση!$A$2:$K$8, 7, 0) - VLOOKUP($B56, Κανονικοποίηση!$A$2:$K$8, 7, 0) &lt;= 0, 0, IF(VLOOKUP($A56, Κανονικοποίηση!$A$2:$K$8, 7, 0) - VLOOKUP($B56, Κανονικοποίηση!$A$2:$K$8, 7, 0) &gt;= $D$7, 1, (VLOOKUP($A56, Κανονικοποίηση!$A$2:$K$8, 7, 0) - VLOOKUP($B56, Κανονικοποίηση!$A$2:$K$8, 7, 0)) / $D$7))</f>
        <v>0</v>
      </c>
      <c r="I56" s="35">
        <f>IF(VLOOKUP($A56, Κανονικοποίηση!$A$2:$K$8, 8, 0) - VLOOKUP($B56, Κανονικοποίηση!$A$2:$K$8, 8, 0) &gt; 0, 1, 0)</f>
        <v>0</v>
      </c>
      <c r="J56" s="35">
        <f>IF(VLOOKUP($A56, Κανονικοποίηση!$A$2:$K$8, 9, 0) - VLOOKUP($B56, Κανονικοποίηση!$A$2:$K$8, 9, 0) &gt; 0, 1, 0)</f>
        <v>1</v>
      </c>
      <c r="K56" s="35">
        <f>IF(VLOOKUP($A56, Κανονικοποίηση!$A$2:$K$8, 10, 0) - VLOOKUP($B56, Κανονικοποίηση!$A$2:$K$8, 10, 0) &gt; 0, 1, 0)</f>
        <v>1</v>
      </c>
      <c r="L56" s="36">
        <f>IF(VLOOKUP($A56, Κανονικοποίηση!$A$2:$K$8, 11, 0) - VLOOKUP($B56, Κανονικοποίηση!$A$2:$K$8, 11, 0) &gt; 0, 1, 0)</f>
        <v>0</v>
      </c>
      <c r="M56" s="41" cm="1">
        <f t="array" ref="M56">SUMPRODUCT(C56:L56, TRANSPOSE(Βάρη!$E$2:$E$11))</f>
        <v>0.43030000000000002</v>
      </c>
      <c r="N56" s="25" cm="1">
        <f t="array" ref="N56">SUMPRODUCT(C56:L56, TRANSPOSE(Βάρη!$C$2:$C$11))</f>
        <v>0.45454545454545453</v>
      </c>
      <c r="O56" s="25" cm="1">
        <f t="array" ref="O56">SUMPRODUCT(C56:L56, TRANSPOSE(Βάρη!$F$2:$F$11))</f>
        <v>0.4</v>
      </c>
      <c r="P56" s="41" cm="1">
        <f t="array" ref="P56">SUMPRODUCT(C56:L56, TRANSPOSE(Σύνοψη!$J$3:$J$12))</f>
        <v>1.0523516278555598</v>
      </c>
      <c r="Q56" s="25" cm="1">
        <f t="array" ref="Q56">SUMPRODUCT(C56:L56, TRANSPOSE(Βάρη!$D$2:$D$11))</f>
        <v>0.39073296301314187</v>
      </c>
    </row>
    <row r="57" spans="1:17">
      <c r="A57" s="47" t="s">
        <v>17</v>
      </c>
      <c r="B57" s="47" t="s">
        <v>16</v>
      </c>
      <c r="C57" s="35">
        <f>IF(VLOOKUP($A57, Κανονικοποίηση!$A$2:$K$8, 2, 0) - VLOOKUP($B57, Κανονικοποίηση!$A$2:$K$8, 2, 0) &lt;= $C$2, 0, IF(VLOOKUP($A57, Κανονικοποίηση!$A$2:$K$8, 2, 0) - VLOOKUP($B57, Κανονικοποίηση!$A$2:$K$8, 2, 0) &gt;= $D$2, 1, (VLOOKUP($A57, Κανονικοποίηση!$A$2:$K$8, 2, 0) - VLOOKUP($B57, Κανονικοποίηση!$A$2:$K$8, 2, 0) - $C$2) / ($D$2 - $C$2)))</f>
        <v>1</v>
      </c>
      <c r="D57" s="35">
        <f>IF(VLOOKUP($A57, Κανονικοποίηση!$A$2:$K$8, 3, 0) - VLOOKUP($B57, Κανονικοποίηση!$A$2:$K$8, 3, 0) &gt; 0, 1, 0)</f>
        <v>0</v>
      </c>
      <c r="E57" s="35">
        <f>IF(VLOOKUP($A57, Κανονικοποίηση!$A$2:$K$8, 4, 0) - VLOOKUP($B57, Κανονικοποίηση!$A$2:$K$8, 4, 0) &gt; 0, 1, 0)</f>
        <v>0</v>
      </c>
      <c r="F57" s="35">
        <f>IF(VLOOKUP($A57, Κανονικοποίηση!$A$2:$K$8, 5, 0) - VLOOKUP($B57, Κανονικοποίηση!$A$2:$K$8, 5, 0) &gt; $C$5, 1, 0)</f>
        <v>0</v>
      </c>
      <c r="G57" s="35">
        <f>IF(VLOOKUP($A57, Κανονικοποίηση!$A$2:$K$8, 6, 0) - VLOOKUP($B57, Κανονικοποίηση!$A$2:$K$8, 6, 0) &gt; 0, 1, 0)</f>
        <v>0</v>
      </c>
      <c r="H57" s="35">
        <f>IF(VLOOKUP($A57, Κανονικοποίηση!$A$2:$K$8, 7, 0) - VLOOKUP($B57, Κανονικοποίηση!$A$2:$K$8, 7, 0) &lt;= 0, 0, IF(VLOOKUP($A57, Κανονικοποίηση!$A$2:$K$8, 7, 0) - VLOOKUP($B57, Κανονικοποίηση!$A$2:$K$8, 7, 0) &gt;= $D$7, 1, (VLOOKUP($A57, Κανονικοποίηση!$A$2:$K$8, 7, 0) - VLOOKUP($B57, Κανονικοποίηση!$A$2:$K$8, 7, 0)) / $D$7))</f>
        <v>1</v>
      </c>
      <c r="I57" s="35">
        <f>IF(VLOOKUP($A57, Κανονικοποίηση!$A$2:$K$8, 8, 0) - VLOOKUP($B57, Κανονικοποίηση!$A$2:$K$8, 8, 0) &gt; 0, 1, 0)</f>
        <v>1</v>
      </c>
      <c r="J57" s="35">
        <f>IF(VLOOKUP($A57, Κανονικοποίηση!$A$2:$K$8, 9, 0) - VLOOKUP($B57, Κανονικοποίηση!$A$2:$K$8, 9, 0) &gt; 0, 1, 0)</f>
        <v>0</v>
      </c>
      <c r="K57" s="35">
        <f>IF(VLOOKUP($A57, Κανονικοποίηση!$A$2:$K$8, 10, 0) - VLOOKUP($B57, Κανονικοποίηση!$A$2:$K$8, 10, 0) &gt; 0, 1, 0)</f>
        <v>0</v>
      </c>
      <c r="L57" s="36">
        <f>IF(VLOOKUP($A57, Κανονικοποίηση!$A$2:$K$8, 11, 0) - VLOOKUP($B57, Κανονικοποίηση!$A$2:$K$8, 11, 0) &gt; 0, 1, 0)</f>
        <v>0</v>
      </c>
      <c r="M57" s="41" cm="1">
        <f t="array" ref="M57">SUMPRODUCT(C57:L57, TRANSPOSE(Βάρη!$E$2:$E$11))</f>
        <v>0.43609999999999999</v>
      </c>
      <c r="N57" s="25" cm="1">
        <f t="array" ref="N57">SUMPRODUCT(C57:L57, TRANSPOSE(Βάρη!$C$2:$C$11))</f>
        <v>0.36363636363636365</v>
      </c>
      <c r="O57" s="25" cm="1">
        <f t="array" ref="O57">SUMPRODUCT(C57:L57, TRANSPOSE(Βάρη!$F$2:$F$11))</f>
        <v>0.34545454545454546</v>
      </c>
      <c r="P57" s="41" cm="1">
        <f t="array" ref="P57">SUMPRODUCT(C57:L57, TRANSPOSE(Σύνοψη!$J$3:$J$12))</f>
        <v>1.5958651893950766</v>
      </c>
      <c r="Q57" s="25" cm="1">
        <f t="array" ref="Q57">SUMPRODUCT(C57:L57, TRANSPOSE(Βάρη!$D$2:$D$11))</f>
        <v>0.46944858420268265</v>
      </c>
    </row>
    <row r="59" spans="1:17">
      <c r="A59" s="83" t="s">
        <v>109</v>
      </c>
      <c r="B59" s="84"/>
      <c r="C59" s="84"/>
      <c r="D59" s="84"/>
      <c r="E59" s="85"/>
      <c r="G59" s="83" t="s">
        <v>110</v>
      </c>
      <c r="H59" s="84"/>
      <c r="I59" s="84"/>
      <c r="J59" s="84"/>
      <c r="K59" s="85"/>
    </row>
    <row r="60" spans="1:17">
      <c r="A60" s="34"/>
      <c r="B60" s="63" t="s">
        <v>111</v>
      </c>
      <c r="C60" s="63" t="s">
        <v>112</v>
      </c>
      <c r="D60" s="63" t="s">
        <v>113</v>
      </c>
      <c r="E60" s="63" t="s">
        <v>114</v>
      </c>
      <c r="G60" s="34"/>
      <c r="H60" s="63" t="s">
        <v>111</v>
      </c>
      <c r="I60" s="63" t="s">
        <v>112</v>
      </c>
      <c r="J60" s="63" t="s">
        <v>113</v>
      </c>
      <c r="K60" s="63" t="s">
        <v>114</v>
      </c>
    </row>
    <row r="61" spans="1:17">
      <c r="A61" s="47" t="s">
        <v>11</v>
      </c>
      <c r="B61" s="37">
        <f>SUM(M16:M21)/6</f>
        <v>0.43297777777777774</v>
      </c>
      <c r="C61" s="37">
        <f>(M22+M28+M34+M40+M46+M52)/6</f>
        <v>0.40391111111111105</v>
      </c>
      <c r="D61" s="37">
        <f>B61-C61</f>
        <v>2.9066666666666685E-2</v>
      </c>
      <c r="E61" s="37">
        <f>RANK(D61, $D$61:$D$67, 0)</f>
        <v>4</v>
      </c>
      <c r="G61" s="47" t="s">
        <v>11</v>
      </c>
      <c r="H61" s="37">
        <f>SUM(O16:O21)/6</f>
        <v>0.44444444444444442</v>
      </c>
      <c r="I61" s="37">
        <f>(O22+O28+O34+O40+O46+O52)/6</f>
        <v>0.39292929292929291</v>
      </c>
      <c r="J61" s="37">
        <f>H61-I61</f>
        <v>5.1515151515151514E-2</v>
      </c>
      <c r="K61" s="37">
        <f>RANK(J61, $J$61:$J$67, 0)</f>
        <v>4</v>
      </c>
    </row>
    <row r="62" spans="1:17">
      <c r="A62" s="47" t="s">
        <v>12</v>
      </c>
      <c r="B62" s="37">
        <f>SUM(M22:M27)/6</f>
        <v>0.35499444444444445</v>
      </c>
      <c r="C62" s="37">
        <f>(M16+M29+M35+M41+M47+M53)/6</f>
        <v>0.45977499999999988</v>
      </c>
      <c r="D62" s="37">
        <f>B62-C62</f>
        <v>-0.10478055555555543</v>
      </c>
      <c r="E62" s="37">
        <f>RANK(D62, $D$61:$D$67, 0)</f>
        <v>6</v>
      </c>
      <c r="G62" s="47" t="s">
        <v>12</v>
      </c>
      <c r="H62" s="37">
        <f>SUM(O22:O27)/6</f>
        <v>0.36565656565656562</v>
      </c>
      <c r="I62" s="37">
        <f>(O16+O29+O35+O41+O47+O53)/6</f>
        <v>0.45757575757575752</v>
      </c>
      <c r="J62" s="37">
        <f>H62-I62</f>
        <v>-9.19191919191919E-2</v>
      </c>
      <c r="K62" s="37">
        <f t="shared" ref="K62:K67" si="0">RANK(J62, $J$61:$J$67, 0)</f>
        <v>5</v>
      </c>
    </row>
    <row r="63" spans="1:17">
      <c r="A63" s="47" t="s">
        <v>13</v>
      </c>
      <c r="B63" s="37">
        <f>SUM(M28:M33)/6</f>
        <v>0.46669999999999995</v>
      </c>
      <c r="C63" s="37">
        <f>(M17+M23+M36+M42+M48+M54)/6</f>
        <v>0.26635833333333331</v>
      </c>
      <c r="D63" s="37">
        <f>B63-C63</f>
        <v>0.20034166666666664</v>
      </c>
      <c r="E63" s="37">
        <f>RANK(D63, $D$61:$D$67, 0)</f>
        <v>1</v>
      </c>
      <c r="G63" s="47" t="s">
        <v>13</v>
      </c>
      <c r="H63" s="37">
        <f>SUM(O28:O33)/6</f>
        <v>0.44318181818181818</v>
      </c>
      <c r="I63" s="37">
        <f>(O17+O23+O36+O42+O48+O54)/6</f>
        <v>0.30681818181818182</v>
      </c>
      <c r="J63" s="37">
        <f t="shared" ref="J63:J67" si="1">H63-I63</f>
        <v>0.13636363636363635</v>
      </c>
      <c r="K63" s="37">
        <f t="shared" si="0"/>
        <v>3</v>
      </c>
    </row>
    <row r="64" spans="1:17">
      <c r="A64" s="47" t="s">
        <v>14</v>
      </c>
      <c r="B64" s="37">
        <f>SUM(M34:M39)/6</f>
        <v>0.53733333333333333</v>
      </c>
      <c r="C64" s="37">
        <f>(M18+M24+M30+M43+M49+M55)/6</f>
        <v>0.41522777777777781</v>
      </c>
      <c r="D64" s="37">
        <f>B64-C64</f>
        <v>0.12210555555555552</v>
      </c>
      <c r="E64" s="37">
        <f>RANK(D64, $D$61:$D$67, 0)</f>
        <v>2</v>
      </c>
      <c r="G64" s="47" t="s">
        <v>14</v>
      </c>
      <c r="H64" s="37">
        <f>SUM(O34:O39)/6</f>
        <v>0.59090909090909094</v>
      </c>
      <c r="I64" s="37">
        <f>(O18+O24+O30+O43+O49+O55)/6</f>
        <v>0.33535353535353535</v>
      </c>
      <c r="J64" s="37">
        <f t="shared" si="1"/>
        <v>0.25555555555555559</v>
      </c>
      <c r="K64" s="37">
        <f t="shared" si="0"/>
        <v>1</v>
      </c>
    </row>
    <row r="65" spans="1:11">
      <c r="A65" s="47" t="s">
        <v>15</v>
      </c>
      <c r="B65" s="37">
        <f>SUM(M40:M45)/6</f>
        <v>0.31816944444444445</v>
      </c>
      <c r="C65" s="37">
        <f>(M19+M25+M31+M37+M50+M56)/6</f>
        <v>0.51211666666666666</v>
      </c>
      <c r="D65" s="37">
        <f>B65-C65</f>
        <v>-0.19394722222222222</v>
      </c>
      <c r="E65" s="37">
        <f>RANK(D65, $D$61:$D$67, 0)</f>
        <v>7</v>
      </c>
      <c r="G65" s="47" t="s">
        <v>15</v>
      </c>
      <c r="H65" s="37">
        <f>SUM(O40:O45)/6</f>
        <v>0.25555555555555554</v>
      </c>
      <c r="I65" s="37">
        <f>(O19+O25+O31+O37+O50+O56)/6</f>
        <v>0.55454545454545445</v>
      </c>
      <c r="J65" s="37">
        <f t="shared" si="1"/>
        <v>-0.29898989898989892</v>
      </c>
      <c r="K65" s="37">
        <f t="shared" si="0"/>
        <v>7</v>
      </c>
    </row>
    <row r="66" spans="1:11">
      <c r="A66" s="47" t="s">
        <v>16</v>
      </c>
      <c r="B66" s="37">
        <f>SUM(M46:M51)/6</f>
        <v>0.45364444444444435</v>
      </c>
      <c r="C66" s="37">
        <f>(M20+M26+M32+M38+M44+M57)/6</f>
        <v>0.41674444444444453</v>
      </c>
      <c r="D66" s="37">
        <f>B66-C66</f>
        <v>3.6899999999999822E-2</v>
      </c>
      <c r="E66" s="37">
        <f>RANK(D66, $D$61:$D$67, 0)</f>
        <v>3</v>
      </c>
      <c r="G66" s="47" t="s">
        <v>16</v>
      </c>
      <c r="H66" s="37">
        <f>SUM(O46:O51)/6</f>
        <v>0.50202020202020192</v>
      </c>
      <c r="I66" s="37">
        <f>(O20+O26+O32+O38+O44+O57)/6</f>
        <v>0.35050505050505049</v>
      </c>
      <c r="J66" s="37">
        <f t="shared" si="1"/>
        <v>0.15151515151515144</v>
      </c>
      <c r="K66" s="37">
        <f t="shared" si="0"/>
        <v>2</v>
      </c>
    </row>
    <row r="67" spans="1:11">
      <c r="A67" s="47" t="s">
        <v>17</v>
      </c>
      <c r="B67" s="37">
        <f>SUM(M52:M57)/6</f>
        <v>0.3273861111111111</v>
      </c>
      <c r="C67" s="37">
        <f>(M21+M27+M33+M39+M45+M51)/6</f>
        <v>0.41707222222222223</v>
      </c>
      <c r="D67" s="37">
        <f>B67-C67</f>
        <v>-8.9686111111111133E-2</v>
      </c>
      <c r="E67" s="37">
        <f>RANK(D67, $D$61:$D$67, 0)</f>
        <v>5</v>
      </c>
      <c r="G67" s="47" t="s">
        <v>17</v>
      </c>
      <c r="H67" s="37">
        <f>SUM(O52:O57)/6</f>
        <v>0.27297979797979799</v>
      </c>
      <c r="I67" s="37">
        <f>(O21+O27+O33+O39+O45+O51)/6</f>
        <v>0.47702020202020207</v>
      </c>
      <c r="J67" s="37">
        <f t="shared" si="1"/>
        <v>-0.20404040404040408</v>
      </c>
      <c r="K67" s="37">
        <f t="shared" si="0"/>
        <v>6</v>
      </c>
    </row>
    <row r="69" spans="1:11">
      <c r="A69" s="83" t="s">
        <v>115</v>
      </c>
      <c r="B69" s="84"/>
      <c r="C69" s="84"/>
      <c r="D69" s="84"/>
      <c r="E69" s="85"/>
      <c r="G69" s="83" t="s">
        <v>116</v>
      </c>
      <c r="H69" s="84"/>
      <c r="I69" s="84"/>
      <c r="J69" s="84"/>
      <c r="K69" s="85"/>
    </row>
    <row r="70" spans="1:11">
      <c r="A70" s="34"/>
      <c r="B70" s="63" t="s">
        <v>111</v>
      </c>
      <c r="C70" s="63" t="s">
        <v>112</v>
      </c>
      <c r="D70" s="63" t="s">
        <v>113</v>
      </c>
      <c r="E70" s="63" t="s">
        <v>114</v>
      </c>
      <c r="G70" s="34"/>
      <c r="H70" s="63" t="s">
        <v>111</v>
      </c>
      <c r="I70" s="63" t="s">
        <v>112</v>
      </c>
      <c r="J70" s="63" t="s">
        <v>113</v>
      </c>
      <c r="K70" s="63" t="s">
        <v>114</v>
      </c>
    </row>
    <row r="71" spans="1:11">
      <c r="A71" s="47" t="s">
        <v>11</v>
      </c>
      <c r="B71" s="37">
        <f>SUM(N16:N21)/6</f>
        <v>0.45050505050505052</v>
      </c>
      <c r="C71" s="37">
        <f>(N22+N28+N34+N40+N46+N52)/6</f>
        <v>0.37474747474747477</v>
      </c>
      <c r="D71" s="37">
        <f>B71-C71</f>
        <v>7.5757575757575746E-2</v>
      </c>
      <c r="E71" s="37">
        <f>RANK(D71, $D$71:$D$77, 0)</f>
        <v>4</v>
      </c>
      <c r="G71" s="47" t="s">
        <v>11</v>
      </c>
      <c r="H71" s="47">
        <f>SUM(P16:P21)/6</f>
        <v>1.5609308905877628</v>
      </c>
      <c r="I71" s="37">
        <f>(P22+P28+P34+P40+P46+P52)/6</f>
        <v>1.4497893845156231</v>
      </c>
      <c r="J71" s="37">
        <f>H71-I71</f>
        <v>0.11114150607213968</v>
      </c>
      <c r="K71" s="37">
        <f>RANK(J71, $J$71:$J$77, 0)</f>
        <v>4</v>
      </c>
    </row>
    <row r="72" spans="1:11">
      <c r="A72" s="47" t="s">
        <v>12</v>
      </c>
      <c r="B72" s="37">
        <f>SUM(N22:N27)/6</f>
        <v>0.35656565656565653</v>
      </c>
      <c r="C72" s="37">
        <f>(N16+N29+N35+N41+N47+N53)/6</f>
        <v>0.46363636363636368</v>
      </c>
      <c r="D72" s="37">
        <f>B72-C72</f>
        <v>-0.10707070707070715</v>
      </c>
      <c r="E72" s="37">
        <f t="shared" ref="E72:E77" si="2">RANK(D72, $D$71:$D$77, 0)</f>
        <v>5</v>
      </c>
      <c r="G72" s="47" t="s">
        <v>12</v>
      </c>
      <c r="H72" s="47">
        <f>SUM(P22:P27)/6</f>
        <v>1.2793229374163744</v>
      </c>
      <c r="I72" s="37">
        <f>(P16+P29+P35+P41+P47+P53)/6</f>
        <v>1.7526501294164321</v>
      </c>
      <c r="J72" s="37">
        <f>H72-I72</f>
        <v>-0.47332719200005768</v>
      </c>
      <c r="K72" s="37">
        <f t="shared" ref="K72:K77" si="3">RANK(J72, $J$71:$J$77, 0)</f>
        <v>6</v>
      </c>
    </row>
    <row r="73" spans="1:11">
      <c r="A73" s="47" t="s">
        <v>13</v>
      </c>
      <c r="B73" s="37">
        <f>SUM(N28:N33)/6</f>
        <v>0.45075757575757575</v>
      </c>
      <c r="C73" s="37">
        <f>(N17+N23+N36+N42+N48+N54)/6</f>
        <v>0.2992424242424242</v>
      </c>
      <c r="D73" s="37">
        <f>B73-C73</f>
        <v>0.15151515151515155</v>
      </c>
      <c r="E73" s="37">
        <f t="shared" si="2"/>
        <v>2</v>
      </c>
      <c r="G73" s="47" t="s">
        <v>13</v>
      </c>
      <c r="H73" s="47">
        <f>SUM(P28:P33)/6</f>
        <v>1.5953256089060837</v>
      </c>
      <c r="I73" s="37">
        <f>(P17+P23+P36+P42+P48+P54)/6</f>
        <v>1.0408701834210181</v>
      </c>
      <c r="J73" s="37">
        <f t="shared" ref="J73:J77" si="4">H73-I73</f>
        <v>0.55445542548506555</v>
      </c>
      <c r="K73" s="37">
        <f t="shared" si="3"/>
        <v>2</v>
      </c>
    </row>
    <row r="74" spans="1:11">
      <c r="A74" s="47" t="s">
        <v>14</v>
      </c>
      <c r="B74" s="37">
        <f>SUM(N34:N39)/6</f>
        <v>0.5818181818181819</v>
      </c>
      <c r="C74" s="37">
        <f>(N18+N24+N30+N43+N49+N55)/6</f>
        <v>0.35959595959595964</v>
      </c>
      <c r="D74" s="37">
        <f>B74-C74</f>
        <v>0.22222222222222227</v>
      </c>
      <c r="E74" s="37">
        <f t="shared" si="2"/>
        <v>1</v>
      </c>
      <c r="G74" s="47" t="s">
        <v>14</v>
      </c>
      <c r="H74" s="47">
        <f>SUM(P34:P39)/6</f>
        <v>1.9771006661376098</v>
      </c>
      <c r="I74" s="37">
        <f>(P18+P24+P30+P43+P49+P55)/6</f>
        <v>1.4219192040453896</v>
      </c>
      <c r="J74" s="37">
        <f t="shared" si="4"/>
        <v>0.55518146209222019</v>
      </c>
      <c r="K74" s="37">
        <f t="shared" si="3"/>
        <v>1</v>
      </c>
    </row>
    <row r="75" spans="1:11">
      <c r="A75" s="47" t="s">
        <v>15</v>
      </c>
      <c r="B75" s="37">
        <f>SUM(N40:N45)/6</f>
        <v>0.26262626262626265</v>
      </c>
      <c r="C75" s="37">
        <f>(N19+N25+N31+N37+N50+N56)/6</f>
        <v>0.56363636363636371</v>
      </c>
      <c r="D75" s="37">
        <f>B75-C75</f>
        <v>-0.30101010101010106</v>
      </c>
      <c r="E75" s="37">
        <f t="shared" si="2"/>
        <v>7</v>
      </c>
      <c r="G75" s="47" t="s">
        <v>15</v>
      </c>
      <c r="H75" s="47">
        <f>SUM(P40:P45)/6</f>
        <v>1.1481984751930587</v>
      </c>
      <c r="I75" s="37">
        <f>(P19+P25+P31+P37+P50+P56)/6</f>
        <v>1.6655649995844877</v>
      </c>
      <c r="J75" s="37">
        <f t="shared" si="4"/>
        <v>-0.51736652439142894</v>
      </c>
      <c r="K75" s="37">
        <f t="shared" si="3"/>
        <v>7</v>
      </c>
    </row>
    <row r="76" spans="1:11">
      <c r="A76" s="47" t="s">
        <v>16</v>
      </c>
      <c r="B76" s="37">
        <f>SUM(N46:N51)/6</f>
        <v>0.4959595959595961</v>
      </c>
      <c r="C76" s="37">
        <f>(N20+N26+N32+N38+N44+N57)/6</f>
        <v>0.36565656565656574</v>
      </c>
      <c r="D76" s="37">
        <f>B76-C76</f>
        <v>0.13030303030303036</v>
      </c>
      <c r="E76" s="37">
        <f t="shared" si="2"/>
        <v>3</v>
      </c>
      <c r="G76" s="47" t="s">
        <v>16</v>
      </c>
      <c r="H76" s="47">
        <f>SUM(P46:P51)/6</f>
        <v>1.621964539697802</v>
      </c>
      <c r="I76" s="37">
        <f>(P20+P26+P32+P38+P44+P57)/6</f>
        <v>1.4443299782536334</v>
      </c>
      <c r="J76" s="37">
        <f t="shared" si="4"/>
        <v>0.17763456144416856</v>
      </c>
      <c r="K76" s="37">
        <f t="shared" si="3"/>
        <v>3</v>
      </c>
    </row>
    <row r="77" spans="1:11">
      <c r="A77" s="47" t="s">
        <v>17</v>
      </c>
      <c r="B77" s="37">
        <f>SUM(N52:N57)/6</f>
        <v>0.29065656565656567</v>
      </c>
      <c r="C77" s="37">
        <f>(N21+N27+N33+N39+N45+N51)/6</f>
        <v>0.46237373737373738</v>
      </c>
      <c r="D77" s="37">
        <f>B77-C77</f>
        <v>-0.17171717171717171</v>
      </c>
      <c r="E77" s="37">
        <f t="shared" si="2"/>
        <v>6</v>
      </c>
      <c r="G77" s="47" t="s">
        <v>17</v>
      </c>
      <c r="H77" s="47">
        <f>SUM(P52:P57)/6</f>
        <v>1.1335876695251996</v>
      </c>
      <c r="I77" s="37">
        <f>(P21+P27+P33+P39+P45+P51)/6</f>
        <v>1.5413069082273063</v>
      </c>
      <c r="J77" s="37">
        <f t="shared" si="4"/>
        <v>-0.40771923870210669</v>
      </c>
      <c r="K77" s="37">
        <f t="shared" si="3"/>
        <v>5</v>
      </c>
    </row>
    <row r="79" spans="1:11">
      <c r="A79" s="83" t="s">
        <v>117</v>
      </c>
      <c r="B79" s="84"/>
      <c r="C79" s="84"/>
      <c r="D79" s="84"/>
      <c r="E79" s="85"/>
    </row>
    <row r="80" spans="1:11">
      <c r="A80" s="34"/>
      <c r="B80" s="63" t="s">
        <v>111</v>
      </c>
      <c r="C80" s="63" t="s">
        <v>112</v>
      </c>
      <c r="D80" s="63" t="s">
        <v>113</v>
      </c>
      <c r="E80" s="63" t="s">
        <v>114</v>
      </c>
    </row>
    <row r="81" spans="1:7">
      <c r="A81" s="47" t="s">
        <v>11</v>
      </c>
      <c r="B81" s="37">
        <f>SUM(Q16:Q21)/6</f>
        <v>0.43131012057986734</v>
      </c>
      <c r="C81" s="37">
        <f>(Q22+Q28+Q34+Q40+Q46+Q52)/6</f>
        <v>0.42453597073567267</v>
      </c>
      <c r="D81" s="37">
        <f>B81-C81</f>
        <v>6.7741498441946657E-3</v>
      </c>
      <c r="E81" s="37">
        <f>RANK(D81, $D$81:$D$87, 0)</f>
        <v>3</v>
      </c>
    </row>
    <row r="82" spans="1:7">
      <c r="A82" s="47" t="s">
        <v>12</v>
      </c>
      <c r="B82" s="37">
        <f>SUM(Q22:Q27)/6</f>
        <v>0.38967167953755144</v>
      </c>
      <c r="C82" s="37">
        <f>(Q16+Q29+Q35+Q41+Q47+Q53)/6</f>
        <v>0.41954568035044937</v>
      </c>
      <c r="D82" s="37">
        <f>B82-C82</f>
        <v>-2.9874000812897927E-2</v>
      </c>
      <c r="E82" s="37">
        <f t="shared" ref="E82:E87" si="5">RANK(D82, $D$81:$D$87, 0)</f>
        <v>5</v>
      </c>
      <c r="F82" s="39"/>
      <c r="G82" s="39"/>
    </row>
    <row r="83" spans="1:7">
      <c r="A83" s="47" t="s">
        <v>13</v>
      </c>
      <c r="B83" s="37">
        <f>SUM(Q28:Q33)/6</f>
        <v>0.47158244140360389</v>
      </c>
      <c r="C83" s="37">
        <f>(Q17+Q23+Q36+Q42+Q48+Q54)/6</f>
        <v>0.26605473513074113</v>
      </c>
      <c r="D83" s="37">
        <f>B83-C83</f>
        <v>0.20552770627286276</v>
      </c>
      <c r="E83" s="37">
        <f t="shared" si="5"/>
        <v>1</v>
      </c>
      <c r="F83" s="39"/>
      <c r="G83" s="39"/>
    </row>
    <row r="84" spans="1:7">
      <c r="A84" s="47" t="s">
        <v>14</v>
      </c>
      <c r="B84" s="37">
        <f>SUM(Q34:Q39)/6</f>
        <v>0.48606783182043989</v>
      </c>
      <c r="C84" s="37">
        <f>(Q18+Q24+Q30+Q43+Q49+Q55)/6</f>
        <v>0.4615454093844556</v>
      </c>
      <c r="D84" s="37">
        <f>B84-C84</f>
        <v>2.4522422435984292E-2</v>
      </c>
      <c r="E84" s="37">
        <f t="shared" si="5"/>
        <v>2</v>
      </c>
      <c r="F84" s="40"/>
      <c r="G84" s="40"/>
    </row>
    <row r="85" spans="1:7">
      <c r="A85" s="47" t="s">
        <v>15</v>
      </c>
      <c r="B85" s="37">
        <f>SUM(Q40:Q45)/6</f>
        <v>0.34947839046199708</v>
      </c>
      <c r="C85" s="37">
        <f>(Q19+Q25+Q31+Q37+Q50+Q56)/6</f>
        <v>0.48015174095650998</v>
      </c>
      <c r="D85" s="37">
        <f>B85-C85</f>
        <v>-0.1306733504945129</v>
      </c>
      <c r="E85" s="37">
        <f t="shared" si="5"/>
        <v>7</v>
      </c>
      <c r="F85" s="40"/>
      <c r="G85" s="40"/>
    </row>
    <row r="86" spans="1:7">
      <c r="A86" s="47" t="s">
        <v>16</v>
      </c>
      <c r="B86" s="37">
        <f>SUM(Q46:Q51)/6</f>
        <v>0.4291649731292056</v>
      </c>
      <c r="C86" s="37">
        <f>(Q20+Q26+Q32+Q38+Q44+Q57)/6</f>
        <v>0.44731969471164712</v>
      </c>
      <c r="D86" s="37">
        <f>B86-C86</f>
        <v>-1.8154721582441524E-2</v>
      </c>
      <c r="E86" s="37">
        <f t="shared" si="5"/>
        <v>4</v>
      </c>
      <c r="F86" s="40"/>
      <c r="G86" s="40"/>
    </row>
    <row r="87" spans="1:7">
      <c r="A87" s="47" t="s">
        <v>17</v>
      </c>
      <c r="B87" s="37">
        <f>SUM(Q52:Q57)/6</f>
        <v>0.34133812039922334</v>
      </c>
      <c r="C87" s="37">
        <f>(Q21+Q27+Q33+Q39+Q45+Q51)/6</f>
        <v>0.39946032606241255</v>
      </c>
      <c r="D87" s="37">
        <f>B87-C87</f>
        <v>-5.8122205663189208E-2</v>
      </c>
      <c r="E87" s="37">
        <f t="shared" si="5"/>
        <v>6</v>
      </c>
      <c r="F87" s="40"/>
      <c r="G87" s="40"/>
    </row>
    <row r="88" spans="1:7">
      <c r="B88" s="39"/>
      <c r="C88" s="38"/>
      <c r="D88" s="40"/>
      <c r="E88" s="40"/>
      <c r="F88" s="40"/>
      <c r="G88" s="40"/>
    </row>
    <row r="89" spans="1:7">
      <c r="B89" s="39"/>
      <c r="C89" s="38"/>
      <c r="D89" s="40"/>
      <c r="E89" s="40"/>
      <c r="F89" s="40"/>
      <c r="G89" s="40"/>
    </row>
    <row r="90" spans="1:7">
      <c r="B90" s="39"/>
      <c r="C90" s="38"/>
      <c r="D90" s="40"/>
      <c r="E90" s="40"/>
      <c r="F90" s="40"/>
      <c r="G90" s="40"/>
    </row>
    <row r="93" spans="1:7">
      <c r="G93" s="39"/>
    </row>
    <row r="94" spans="1:7">
      <c r="G94" s="40"/>
    </row>
    <row r="95" spans="1:7">
      <c r="C95" s="39"/>
      <c r="D95" s="39"/>
      <c r="E95" s="39"/>
      <c r="F95" s="39"/>
      <c r="G95" s="39"/>
    </row>
    <row r="96" spans="1:7">
      <c r="C96" s="39"/>
      <c r="D96" s="40"/>
      <c r="E96" s="40"/>
      <c r="F96" s="40"/>
      <c r="G96" s="40"/>
    </row>
    <row r="97" spans="3:7">
      <c r="C97" s="39"/>
      <c r="D97" s="40"/>
      <c r="E97" s="40"/>
      <c r="F97" s="40"/>
      <c r="G97" s="40"/>
    </row>
    <row r="98" spans="3:7">
      <c r="C98" s="39"/>
      <c r="D98" s="40"/>
      <c r="E98" s="40"/>
      <c r="F98" s="40"/>
      <c r="G98" s="40"/>
    </row>
    <row r="99" spans="3:7">
      <c r="C99" s="39"/>
      <c r="D99" s="40"/>
      <c r="E99" s="40"/>
      <c r="F99" s="40"/>
      <c r="G99" s="40"/>
    </row>
    <row r="100" spans="3:7">
      <c r="C100" s="39"/>
      <c r="D100" s="40"/>
      <c r="E100" s="40"/>
      <c r="F100" s="40"/>
      <c r="G100" s="40"/>
    </row>
    <row r="101" spans="3:7">
      <c r="C101" s="39"/>
      <c r="D101" s="40"/>
      <c r="E101" s="40"/>
      <c r="F101" s="40"/>
      <c r="G101" s="40"/>
    </row>
    <row r="102" spans="3:7">
      <c r="C102" s="39"/>
      <c r="D102" s="40"/>
      <c r="E102" s="40"/>
      <c r="F102" s="40"/>
      <c r="G102" s="40"/>
    </row>
  </sheetData>
  <mergeCells count="5">
    <mergeCell ref="A79:E79"/>
    <mergeCell ref="A59:E59"/>
    <mergeCell ref="A69:E69"/>
    <mergeCell ref="G59:K59"/>
    <mergeCell ref="G69:K6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20B2-BC08-4B72-B1F2-0BB13842E818}">
  <dimension ref="A1:Q88"/>
  <sheetViews>
    <sheetView workbookViewId="0">
      <selection activeCell="I38" sqref="I38"/>
    </sheetView>
  </sheetViews>
  <sheetFormatPr defaultRowHeight="15"/>
  <cols>
    <col min="1" max="2" width="14.28515625" bestFit="1" customWidth="1"/>
    <col min="3" max="3" width="12.5703125" bestFit="1" customWidth="1"/>
    <col min="4" max="4" width="12.85546875" bestFit="1" customWidth="1"/>
    <col min="5" max="5" width="12.42578125" bestFit="1" customWidth="1"/>
    <col min="6" max="6" width="12.85546875" bestFit="1" customWidth="1"/>
    <col min="7" max="7" width="13.85546875" bestFit="1" customWidth="1"/>
    <col min="8" max="8" width="16.7109375" bestFit="1" customWidth="1"/>
    <col min="9" max="9" width="16.85546875" bestFit="1" customWidth="1"/>
    <col min="10" max="10" width="14.7109375" bestFit="1" customWidth="1"/>
    <col min="11" max="11" width="11.7109375" bestFit="1" customWidth="1"/>
    <col min="12" max="12" width="8.28515625" bestFit="1" customWidth="1"/>
    <col min="13" max="13" width="12" bestFit="1" customWidth="1"/>
    <col min="14" max="15" width="11.85546875" bestFit="1" customWidth="1"/>
    <col min="16" max="16" width="14.5703125" bestFit="1" customWidth="1"/>
    <col min="17" max="17" width="11.85546875" bestFit="1" customWidth="1"/>
    <col min="18" max="18" width="13.42578125" bestFit="1" customWidth="1"/>
  </cols>
  <sheetData>
    <row r="1" spans="1:17">
      <c r="A1" s="46" t="s">
        <v>29</v>
      </c>
      <c r="B1" s="46" t="s">
        <v>97</v>
      </c>
      <c r="C1" s="46" t="s">
        <v>98</v>
      </c>
      <c r="D1" s="46" t="s">
        <v>118</v>
      </c>
    </row>
    <row r="2" spans="1:17">
      <c r="A2" s="27" t="s">
        <v>35</v>
      </c>
      <c r="B2" s="34">
        <v>0.1</v>
      </c>
      <c r="C2" s="34">
        <v>0.3</v>
      </c>
      <c r="D2" s="34">
        <v>0.7</v>
      </c>
    </row>
    <row r="3" spans="1:17">
      <c r="A3" s="27" t="s">
        <v>36</v>
      </c>
      <c r="B3" s="34">
        <v>0.05</v>
      </c>
      <c r="C3" s="34">
        <v>0.15</v>
      </c>
      <c r="D3" s="34">
        <v>0.5</v>
      </c>
    </row>
    <row r="4" spans="1:17">
      <c r="A4" s="27" t="s">
        <v>37</v>
      </c>
      <c r="B4" s="34">
        <v>0.1</v>
      </c>
      <c r="C4" s="34">
        <v>0.2</v>
      </c>
      <c r="D4" s="34">
        <v>0.6</v>
      </c>
    </row>
    <row r="5" spans="1:17">
      <c r="A5" s="27" t="s">
        <v>38</v>
      </c>
      <c r="B5" s="34">
        <v>0.1</v>
      </c>
      <c r="C5" s="34">
        <v>0.2</v>
      </c>
      <c r="D5" s="34">
        <v>0.5</v>
      </c>
    </row>
    <row r="6" spans="1:17">
      <c r="A6" s="27" t="s">
        <v>39</v>
      </c>
      <c r="B6" s="34">
        <v>0</v>
      </c>
      <c r="C6" s="34">
        <v>0.5</v>
      </c>
      <c r="D6" s="34">
        <v>0.8</v>
      </c>
    </row>
    <row r="7" spans="1:17">
      <c r="A7" s="27" t="s">
        <v>100</v>
      </c>
      <c r="B7" s="34">
        <v>0.1</v>
      </c>
      <c r="C7" s="34">
        <v>0.3</v>
      </c>
      <c r="D7" s="34">
        <v>0.7</v>
      </c>
    </row>
    <row r="8" spans="1:17">
      <c r="A8" s="27" t="s">
        <v>101</v>
      </c>
      <c r="B8" s="34">
        <v>0.1</v>
      </c>
      <c r="C8" s="34">
        <v>0.2</v>
      </c>
      <c r="D8" s="34">
        <v>0.6</v>
      </c>
    </row>
    <row r="9" spans="1:17">
      <c r="A9" s="27" t="s">
        <v>42</v>
      </c>
      <c r="B9" s="34">
        <v>0.1</v>
      </c>
      <c r="C9" s="34">
        <v>0.2</v>
      </c>
      <c r="D9" s="34">
        <v>0.6</v>
      </c>
    </row>
    <row r="10" spans="1:17">
      <c r="A10" s="27" t="s">
        <v>43</v>
      </c>
      <c r="B10" s="34">
        <v>0.1</v>
      </c>
      <c r="C10" s="34">
        <v>0.2</v>
      </c>
      <c r="D10" s="34">
        <v>0.6</v>
      </c>
    </row>
    <row r="11" spans="1:17">
      <c r="A11" s="27" t="s">
        <v>44</v>
      </c>
      <c r="B11" s="34">
        <v>0.05</v>
      </c>
      <c r="C11" s="34">
        <v>0.15</v>
      </c>
      <c r="D11" s="34">
        <v>0.5</v>
      </c>
    </row>
    <row r="15" spans="1:17">
      <c r="A15" s="66" t="s">
        <v>102</v>
      </c>
      <c r="B15" s="66" t="s">
        <v>103</v>
      </c>
      <c r="C15" s="46" t="s">
        <v>1</v>
      </c>
      <c r="D15" s="46" t="s">
        <v>2</v>
      </c>
      <c r="E15" s="46" t="s">
        <v>3</v>
      </c>
      <c r="F15" s="46" t="s">
        <v>4</v>
      </c>
      <c r="G15" s="46" t="s">
        <v>5</v>
      </c>
      <c r="H15" s="46" t="s">
        <v>6</v>
      </c>
      <c r="I15" s="46" t="s">
        <v>7</v>
      </c>
      <c r="J15" s="46" t="s">
        <v>8</v>
      </c>
      <c r="K15" s="46" t="s">
        <v>9</v>
      </c>
      <c r="L15" s="46" t="s">
        <v>10</v>
      </c>
      <c r="M15" s="46" t="s">
        <v>119</v>
      </c>
      <c r="N15" s="46" t="s">
        <v>120</v>
      </c>
      <c r="O15" s="46" t="s">
        <v>121</v>
      </c>
      <c r="P15" s="46" t="s">
        <v>122</v>
      </c>
      <c r="Q15" s="52" t="s">
        <v>123</v>
      </c>
    </row>
    <row r="16" spans="1:17">
      <c r="A16" s="7" t="s">
        <v>11</v>
      </c>
      <c r="B16" s="7" t="s">
        <v>12</v>
      </c>
      <c r="C16" s="25" cm="1">
        <f t="array" ref="C16">_xlfn.LET(
    _xlpm.g_a, INDEX(Κανονικοποίηση!B$2:B$8, MATCH($A16, {"A";"B";"Γ";"Δ";"E";"Z";"H"}, 0)),
    _xlpm.g_b, INDEX(Κανονικοποίηση!B$2:B$8,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D16" s="25" cm="1">
        <f t="array" ref="D16">_xlfn.LET(
    _xlpm.g_a, INDEX(Κανονικοποίηση!C$2:C$8, MATCH($A16, {"A";"B";"Γ";"Δ";"E";"Z";"H"}, 0)),
    _xlpm.g_b, INDEX(Κανονικοποίηση!C$2:C$8,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E16" s="25" cm="1">
        <f t="array" ref="E16">_xlfn.LET(
    _xlpm.g_a, INDEX(Κανονικοποίηση!D$2:D$8, MATCH($A16, {"A";"B";"Γ";"Δ";"E";"Z";"H"}, 0)),
    _xlpm.g_b, INDEX(Κανονικοποίηση!D$2:D$8,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F16" s="25" cm="1">
        <f t="array" ref="F16">_xlfn.LET(
    _xlpm.g_a, INDEX(Κανονικοποίηση!E$2:E$8, MATCH($A16, {"A";"B";"Γ";"Δ";"E";"Z";"H"}, 0)),
    _xlpm.g_b, INDEX(Κανονικοποίηση!E$2:E$8,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G16" s="25" cm="1">
        <f t="array" ref="G16">_xlfn.LET(
    _xlpm.g_a, INDEX(Κανονικοποίηση!F$2:F$8, MATCH($A16, {"A";"B";"Γ";"Δ";"E";"Z";"H"}, 0)),
    _xlpm.g_b, INDEX(Κανονικοποίηση!F$2:F$8,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H16" s="25" cm="1">
        <f t="array" ref="H16">_xlfn.LET(
    _xlpm.g_a, INDEX(Κανονικοποίηση!G$2:G$8, MATCH($A16, {"A";"B";"Γ";"Δ";"E";"Z";"H"}, 0)),
    _xlpm.g_b, INDEX(Κανονικοποίηση!G$2:G$8,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0</v>
      </c>
      <c r="I16" s="25" cm="1">
        <f t="array" ref="I16">_xlfn.LET(
    _xlpm.g_a, INDEX(Κανονικοποίηση!H$2:H$8, MATCH($A16, {"A";"B";"Γ";"Δ";"E";"Z";"H"}, 0)),
    _xlpm.g_b, INDEX(Κανονικοποίηση!H$2:H$8,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J16" s="25" cm="1">
        <f t="array" ref="J16">_xlfn.LET(
    _xlpm.g_a, INDEX(Κανονικοποίηση!I$2:I$8, MATCH($A16, {"A";"B";"Γ";"Δ";"E";"Z";"H"}, 0)),
    _xlpm.g_b, INDEX(Κανονικοποίηση!I$2:I$8,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K16" s="25" cm="1">
        <f t="array" ref="K16">_xlfn.LET(
    _xlpm.g_a, INDEX(Κανονικοποίηση!J$2:J$8, MATCH($A16, {"A";"B";"Γ";"Δ";"E";"Z";"H"}, 0)),
    _xlpm.g_b, INDEX(Κανονικοποίηση!J$2:J$8,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1</v>
      </c>
      <c r="L16" s="25" cm="1">
        <f t="array" ref="L16">_xlfn.LET(
    _xlpm.g_a, INDEX(Κανονικοποίηση!K$2:K$8, MATCH($A16, {"A";"B";"Γ";"Δ";"E";"Z";"H"}, 0)),
    _xlpm.g_b, INDEX(Κανονικοποίηση!K$2:K$8, MATCH($B16, {"A";"B";"Γ";"Δ";"E";"Z";"H"}, 0)),
    _xlpm.type, "Benefit",
    _xlpm.diff, IF(OR(COLUMN()=3, COLUMN()=8, COLUMN()=9), _xlpm.g_b - _xlpm.g_a, _xlpm.g_a - _xlpm.g_b),
    _xlpm.q, ELECTRE!$R2,
    _xlpm.p, ELECTRE!$S2,
    IF(_xlpm.diff &gt;= -_xlpm.q, 1, IF(_xlpm.diff &lt;= -_xlpm.p, 0, (_xlpm.diff + _xlpm.p) / (_xlpm.p - _xlpm.q)))
)</f>
        <v>0</v>
      </c>
      <c r="M16" s="25" cm="1">
        <f t="array" ref="M16">SUMPRODUCT(C16:L16, TRANSPOSE(Βάρη!$E$2:$E$11))</f>
        <v>0.86930000000000007</v>
      </c>
      <c r="N16" s="25" cm="1">
        <f t="array" ref="N16">SUMPRODUCT(C16:L16, TRANSPOSE(Βάρη!$C$2:$C$11))</f>
        <v>0.85454545454545461</v>
      </c>
      <c r="O16" s="25" cm="1">
        <f t="array" ref="O16">SUMPRODUCT(C16:L16, TRANSPOSE(Βάρη!$D$2:$D$11))</f>
        <v>0.88050399674840818</v>
      </c>
      <c r="P16" s="25" cm="1">
        <f t="array" ref="P16">SUMPRODUCT(C16:L16, TRANSPOSE(Βάρη!$F$2:$F$11))</f>
        <v>0.89090909090909098</v>
      </c>
      <c r="Q16" s="41" cm="1">
        <f t="array" ref="Q16">SUMPRODUCT(C16:L16, TRANSPOSE(Σύνοψη!$J$3:$J$12))</f>
        <v>3.0524481730825768</v>
      </c>
    </row>
    <row r="17" spans="1:17">
      <c r="A17" s="7" t="s">
        <v>11</v>
      </c>
      <c r="B17" s="7" t="s">
        <v>13</v>
      </c>
      <c r="C17" s="25" cm="1">
        <f t="array" ref="C17">_xlfn.LET(
    _xlpm.g_a, INDEX(Κανονικοποίηση!B$2:B$8, MATCH($A17, {"A";"B";"Γ";"Δ";"E";"Z";"H"}, 0)),
    _xlpm.g_b, INDEX(Κανονικοποίηση!B$2:B$8,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D17" s="25" cm="1">
        <f t="array" ref="D17">_xlfn.LET(
    _xlpm.g_a, INDEX(Κανονικοποίηση!C$2:C$8, MATCH($A17, {"A";"B";"Γ";"Δ";"E";"Z";"H"}, 0)),
    _xlpm.g_b, INDEX(Κανονικοποίηση!C$2:C$8,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E17" s="25" cm="1">
        <f t="array" ref="E17">_xlfn.LET(
    _xlpm.g_a, INDEX(Κανονικοποίηση!D$2:D$8, MATCH($A17, {"A";"B";"Γ";"Δ";"E";"Z";"H"}, 0)),
    _xlpm.g_b, INDEX(Κανονικοποίηση!D$2:D$8,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F17" s="25" cm="1">
        <f t="array" ref="F17">_xlfn.LET(
    _xlpm.g_a, INDEX(Κανονικοποίηση!E$2:E$8, MATCH($A17, {"A";"B";"Γ";"Δ";"E";"Z";"H"}, 0)),
    _xlpm.g_b, INDEX(Κανονικοποίηση!E$2:E$8,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G17" s="25" cm="1">
        <f t="array" ref="G17">_xlfn.LET(
    _xlpm.g_a, INDEX(Κανονικοποίηση!F$2:F$8, MATCH($A17, {"A";"B";"Γ";"Δ";"E";"Z";"H"}, 0)),
    _xlpm.g_b, INDEX(Κανονικοποίηση!F$2:F$8,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0</v>
      </c>
      <c r="H17" s="25" cm="1">
        <f t="array" ref="H17">_xlfn.LET(
    _xlpm.g_a, INDEX(Κανονικοποίηση!G$2:G$8, MATCH($A17, {"A";"B";"Γ";"Δ";"E";"Z";"H"}, 0)),
    _xlpm.g_b, INDEX(Κανονικοποίηση!G$2:G$8,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I17" s="25" cm="1">
        <f t="array" ref="I17">_xlfn.LET(
    _xlpm.g_a, INDEX(Κανονικοποίηση!H$2:H$8, MATCH($A17, {"A";"B";"Γ";"Δ";"E";"Z";"H"}, 0)),
    _xlpm.g_b, INDEX(Κανονικοποίηση!H$2:H$8,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J17" s="25" cm="1">
        <f t="array" ref="J17">_xlfn.LET(
    _xlpm.g_a, INDEX(Κανονικοποίηση!I$2:I$8, MATCH($A17, {"A";"B";"Γ";"Δ";"E";"Z";"H"}, 0)),
    _xlpm.g_b, INDEX(Κανονικοποίηση!I$2:I$8,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K17" s="25" cm="1">
        <f t="array" ref="K17">_xlfn.LET(
    _xlpm.g_a, INDEX(Κανονικοποίηση!J$2:J$8, MATCH($A17, {"A";"B";"Γ";"Δ";"E";"Z";"H"}, 0)),
    _xlpm.g_b, INDEX(Κανονικοποίηση!J$2:J$8,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1</v>
      </c>
      <c r="L17" s="25" cm="1">
        <f t="array" ref="L17">_xlfn.LET(
    _xlpm.g_a, INDEX(Κανονικοποίηση!K$2:K$8, MATCH($A17, {"A";"B";"Γ";"Δ";"E";"Z";"H"}, 0)),
    _xlpm.g_b, INDEX(Κανονικοποίηση!K$2:K$8, MATCH($B17, {"A";"B";"Γ";"Δ";"E";"Z";"H"}, 0)),
    _xlpm.type, "Benefit",
    _xlpm.diff, IF(OR(COLUMN()=3, COLUMN()=8, COLUMN()=9), _xlpm.g_b - _xlpm.g_a, _xlpm.g_a - _xlpm.g_b),
    _xlpm.q, ELECTRE!$R3,
    _xlpm.p, ELECTRE!$S3,
    IF(_xlpm.diff &gt;= -_xlpm.q, 1, IF(_xlpm.diff &lt;= -_xlpm.p, 0, (_xlpm.diff + _xlpm.p) / (_xlpm.p - _xlpm.q)))
)</f>
        <v>0</v>
      </c>
      <c r="M17" s="25" cm="1">
        <f t="array" ref="M17">SUMPRODUCT(C17:L17, TRANSPOSE(Βάρη!$E$2:$E$11))</f>
        <v>0.91430000000000011</v>
      </c>
      <c r="N17" s="25" cm="1">
        <f t="array" ref="N17">SUMPRODUCT(C17:L17, TRANSPOSE(Βάρη!$C$2:$C$11))</f>
        <v>0.89090909090909098</v>
      </c>
      <c r="O17" s="25" cm="1">
        <f t="array" ref="O17">SUMPRODUCT(C17:L17, TRANSPOSE(Βάρη!$D$2:$D$11))</f>
        <v>0.90895542609402535</v>
      </c>
      <c r="P17" s="25" cm="1">
        <f t="array" ref="P17">SUMPRODUCT(C17:L17, TRANSPOSE(Βάρη!$F$2:$F$11))</f>
        <v>0.8727272727272728</v>
      </c>
      <c r="Q17" s="41" cm="1">
        <f t="array" ref="Q17">SUMPRODUCT(C17:L17, TRANSPOSE(Σύνοψη!$J$3:$J$12))</f>
        <v>3.2914080699989396</v>
      </c>
    </row>
    <row r="18" spans="1:17">
      <c r="A18" s="7" t="s">
        <v>11</v>
      </c>
      <c r="B18" s="7" t="s">
        <v>14</v>
      </c>
      <c r="C18" s="25" cm="1">
        <f t="array" ref="C18">_xlfn.LET(
    _xlpm.g_a, INDEX(Κανονικοποίηση!B$2:B$8, MATCH($A18, {"A";"B";"Γ";"Δ";"E";"Z";"H"}, 0)),
    _xlpm.g_b, INDEX(Κανονικοποίηση!B$2:B$8,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D18" s="25" cm="1">
        <f t="array" ref="D18">_xlfn.LET(
    _xlpm.g_a, INDEX(Κανονικοποίηση!C$2:C$8, MATCH($A18, {"A";"B";"Γ";"Δ";"E";"Z";"H"}, 0)),
    _xlpm.g_b, INDEX(Κανονικοποίηση!C$2:C$8,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E18" s="25" cm="1">
        <f t="array" ref="E18">_xlfn.LET(
    _xlpm.g_a, INDEX(Κανονικοποίηση!D$2:D$8, MATCH($A18, {"A";"B";"Γ";"Δ";"E";"Z";"H"}, 0)),
    _xlpm.g_b, INDEX(Κανονικοποίηση!D$2:D$8,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F18" s="25" cm="1">
        <f t="array" ref="F18">_xlfn.LET(
    _xlpm.g_a, INDEX(Κανονικοποίηση!E$2:E$8, MATCH($A18, {"A";"B";"Γ";"Δ";"E";"Z";"H"}, 0)),
    _xlpm.g_b, INDEX(Κανονικοποίηση!E$2:E$8,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G18" s="25" cm="1">
        <f t="array" ref="G18">_xlfn.LET(
    _xlpm.g_a, INDEX(Κανονικοποίηση!F$2:F$8, MATCH($A18, {"A";"B";"Γ";"Δ";"E";"Z";"H"}, 0)),
    _xlpm.g_b, INDEX(Κανονικοποίηση!F$2:F$8,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H18" s="25" cm="1">
        <f t="array" ref="H18">_xlfn.LET(
    _xlpm.g_a, INDEX(Κανονικοποίηση!G$2:G$8, MATCH($A18, {"A";"B";"Γ";"Δ";"E";"Z";"H"}, 0)),
    _xlpm.g_b, INDEX(Κανονικοποίηση!G$2:G$8,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I18" s="25" cm="1">
        <f t="array" ref="I18">_xlfn.LET(
    _xlpm.g_a, INDEX(Κανονικοποίηση!H$2:H$8, MATCH($A18, {"A";"B";"Γ";"Δ";"E";"Z";"H"}, 0)),
    _xlpm.g_b, INDEX(Κανονικοποίηση!H$2:H$8,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1</v>
      </c>
      <c r="J18" s="25" cm="1">
        <f t="array" ref="J18">_xlfn.LET(
    _xlpm.g_a, INDEX(Κανονικοποίηση!I$2:I$8, MATCH($A18, {"A";"B";"Γ";"Δ";"E";"Z";"H"}, 0)),
    _xlpm.g_b, INDEX(Κανονικοποίηση!I$2:I$8,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K18" s="25" cm="1">
        <f t="array" ref="K18">_xlfn.LET(
    _xlpm.g_a, INDEX(Κανονικοποίηση!J$2:J$8, MATCH($A18, {"A";"B";"Γ";"Δ";"E";"Z";"H"}, 0)),
    _xlpm.g_b, INDEX(Κανονικοποίηση!J$2:J$8,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1</v>
      </c>
      <c r="L18" s="25" cm="1">
        <f t="array" ref="L18">_xlfn.LET(
    _xlpm.g_a, INDEX(Κανονικοποίηση!K$2:K$8, MATCH($A18, {"A";"B";"Γ";"Δ";"E";"Z";"H"}, 0)),
    _xlpm.g_b, INDEX(Κανονικοποίηση!K$2:K$8, MATCH($B18, {"A";"B";"Γ";"Δ";"E";"Z";"H"}, 0)),
    _xlpm.type, "Benefit",
    _xlpm.diff, IF(OR(COLUMN()=3, COLUMN()=8, COLUMN()=9), _xlpm.g_b - _xlpm.g_a, _xlpm.g_a - _xlpm.g_b),
    _xlpm.q, ELECTRE!$R4,
    _xlpm.p, ELECTRE!$S4,
    IF(_xlpm.diff &gt;= -_xlpm.q, 1, IF(_xlpm.diff &lt;= -_xlpm.p, 0, (_xlpm.diff + _xlpm.p) / (_xlpm.p - _xlpm.q)))
)</f>
        <v>0</v>
      </c>
      <c r="M18" s="25" cm="1">
        <f t="array" ref="M18">SUMPRODUCT(C18:L18, TRANSPOSE(Βάρη!$E$2:$E$11))</f>
        <v>4.3499999999999997E-2</v>
      </c>
      <c r="N18" s="25" cm="1">
        <f t="array" ref="N18">SUMPRODUCT(C18:L18, TRANSPOSE(Βάρη!$C$2:$C$11))</f>
        <v>9.0909090909090912E-2</v>
      </c>
      <c r="O18" s="25" cm="1">
        <f t="array" ref="O18">SUMPRODUCT(C18:L18, TRANSPOSE(Βάρη!$D$2:$D$11))</f>
        <v>8.0612383145915192E-2</v>
      </c>
      <c r="P18" s="25" cm="1">
        <f t="array" ref="P18">SUMPRODUCT(C18:L18, TRANSPOSE(Βάρη!$F$2:$F$11))</f>
        <v>0.10909090909090909</v>
      </c>
      <c r="Q18" s="41" cm="1">
        <f t="array" ref="Q18">SUMPRODUCT(C18:L18, TRANSPOSE(Σύνοψη!$J$3:$J$12))</f>
        <v>0.42859217005515382</v>
      </c>
    </row>
    <row r="19" spans="1:17">
      <c r="A19" s="7" t="s">
        <v>11</v>
      </c>
      <c r="B19" s="7" t="s">
        <v>15</v>
      </c>
      <c r="C19" s="25" cm="1">
        <f t="array" ref="C19">_xlfn.LET(
    _xlpm.g_a, INDEX(Κανονικοποίηση!B$2:B$8, MATCH($A19, {"A";"B";"Γ";"Δ";"E";"Z";"H"}, 0)),
    _xlpm.g_b, INDEX(Κανονικοποίηση!B$2:B$8,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D19" s="25" cm="1">
        <f t="array" ref="D19">_xlfn.LET(
    _xlpm.g_a, INDEX(Κανονικοποίηση!C$2:C$8, MATCH($A19, {"A";"B";"Γ";"Δ";"E";"Z";"H"}, 0)),
    _xlpm.g_b, INDEX(Κανονικοποίηση!C$2:C$8,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E19" s="25" cm="1">
        <f t="array" ref="E19">_xlfn.LET(
    _xlpm.g_a, INDEX(Κανονικοποίηση!D$2:D$8, MATCH($A19, {"A";"B";"Γ";"Δ";"E";"Z";"H"}, 0)),
    _xlpm.g_b, INDEX(Κανονικοποίηση!D$2:D$8,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F19" s="25" cm="1">
        <f t="array" ref="F19">_xlfn.LET(
    _xlpm.g_a, INDEX(Κανονικοποίηση!E$2:E$8, MATCH($A19, {"A";"B";"Γ";"Δ";"E";"Z";"H"}, 0)),
    _xlpm.g_b, INDEX(Κανονικοποίηση!E$2:E$8,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G19" s="25" cm="1">
        <f t="array" ref="G19">_xlfn.LET(
    _xlpm.g_a, INDEX(Κανονικοποίηση!F$2:F$8, MATCH($A19, {"A";"B";"Γ";"Δ";"E";"Z";"H"}, 0)),
    _xlpm.g_b, INDEX(Κανονικοποίηση!F$2:F$8,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H19" s="25" cm="1">
        <f t="array" ref="H19">_xlfn.LET(
    _xlpm.g_a, INDEX(Κανονικοποίηση!G$2:G$8, MATCH($A19, {"A";"B";"Γ";"Δ";"E";"Z";"H"}, 0)),
    _xlpm.g_b, INDEX(Κανονικοποίηση!G$2:G$8,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I19" s="25" cm="1">
        <f t="array" ref="I19">_xlfn.LET(
    _xlpm.g_a, INDEX(Κανονικοποίηση!H$2:H$8, MATCH($A19, {"A";"B";"Γ";"Δ";"E";"Z";"H"}, 0)),
    _xlpm.g_b, INDEX(Κανονικοποίηση!H$2:H$8,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J19" s="25" cm="1">
        <f t="array" ref="J19">_xlfn.LET(
    _xlpm.g_a, INDEX(Κανονικοποίηση!I$2:I$8, MATCH($A19, {"A";"B";"Γ";"Δ";"E";"Z";"H"}, 0)),
    _xlpm.g_b, INDEX(Κανονικοποίηση!I$2:I$8,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K19" s="25" cm="1">
        <f t="array" ref="K19">_xlfn.LET(
    _xlpm.g_a, INDEX(Κανονικοποίηση!J$2:J$8, MATCH($A19, {"A";"B";"Γ";"Δ";"E";"Z";"H"}, 0)),
    _xlpm.g_b, INDEX(Κανονικοποίηση!J$2:J$8,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L19" s="25" cm="1">
        <f t="array" ref="L19">_xlfn.LET(
    _xlpm.g_a, INDEX(Κανονικοποίηση!K$2:K$8, MATCH($A19, {"A";"B";"Γ";"Δ";"E";"Z";"H"}, 0)),
    _xlpm.g_b, INDEX(Κανονικοποίηση!K$2:K$8, MATCH($B19, {"A";"B";"Γ";"Δ";"E";"Z";"H"}, 0)),
    _xlpm.type, "Benefit",
    _xlpm.diff, IF(OR(COLUMN()=3, COLUMN()=8, COLUMN()=9), _xlpm.g_b - _xlpm.g_a, _xlpm.g_a - _xlpm.g_b),
    _xlpm.q, ELECTRE!$R5,
    _xlpm.p, ELECTRE!$S5,
    IF(_xlpm.diff &gt;= -_xlpm.q, 1, IF(_xlpm.diff &lt;= -_xlpm.p, 0, (_xlpm.diff + _xlpm.p) / (_xlpm.p - _xlpm.q)))
)</f>
        <v>1</v>
      </c>
      <c r="M19" s="25" cm="1">
        <f t="array" ref="M19">SUMPRODUCT(C19:L19, TRANSPOSE(Βάρη!$E$2:$E$11))</f>
        <v>1</v>
      </c>
      <c r="N19" s="25" cm="1">
        <f t="array" ref="N19">SUMPRODUCT(C19:L19, TRANSPOSE(Βάρη!$C$2:$C$11))</f>
        <v>1</v>
      </c>
      <c r="O19" s="25" cm="1">
        <f t="array" ref="O19">SUMPRODUCT(C19:L19, TRANSPOSE(Βάρη!$D$2:$D$11))</f>
        <v>1.0000000000000002</v>
      </c>
      <c r="P19" s="25" cm="1">
        <f t="array" ref="P19">SUMPRODUCT(C19:L19, TRANSPOSE(Βάρη!$F$2:$F$11))</f>
        <v>1</v>
      </c>
      <c r="Q19" s="41" cm="1">
        <f t="array" ref="Q19">SUMPRODUCT(C19:L19, TRANSPOSE(Σύνοψη!$J$3:$J$12))</f>
        <v>3.6602464764590579</v>
      </c>
    </row>
    <row r="20" spans="1:17">
      <c r="A20" s="7" t="s">
        <v>11</v>
      </c>
      <c r="B20" s="7" t="s">
        <v>16</v>
      </c>
      <c r="C20" s="25" cm="1">
        <f t="array" ref="C20">_xlfn.LET(
    _xlpm.g_a, INDEX(Κανονικοποίηση!B$2:B$8, MATCH($A20, {"A";"B";"Γ";"Δ";"E";"Z";"H"}, 0)),
    _xlpm.g_b, INDEX(Κανονικοποίηση!B$2:B$8,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D20" s="25" cm="1">
        <f t="array" ref="D20">_xlfn.LET(
    _xlpm.g_a, INDEX(Κανονικοποίηση!C$2:C$8, MATCH($A20, {"A";"B";"Γ";"Δ";"E";"Z";"H"}, 0)),
    _xlpm.g_b, INDEX(Κανονικοποίηση!C$2:C$8,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E20" s="25" cm="1">
        <f t="array" ref="E20">_xlfn.LET(
    _xlpm.g_a, INDEX(Κανονικοποίηση!D$2:D$8, MATCH($A20, {"A";"B";"Γ";"Δ";"E";"Z";"H"}, 0)),
    _xlpm.g_b, INDEX(Κανονικοποίηση!D$2:D$8,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1</v>
      </c>
      <c r="F20" s="25" cm="1">
        <f t="array" ref="F20">_xlfn.LET(
    _xlpm.g_a, INDEX(Κανονικοποίηση!E$2:E$8, MATCH($A20, {"A";"B";"Γ";"Δ";"E";"Z";"H"}, 0)),
    _xlpm.g_b, INDEX(Κανονικοποίηση!E$2:E$8,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G20" s="25" cm="1">
        <f t="array" ref="G20">_xlfn.LET(
    _xlpm.g_a, INDEX(Κανονικοποίηση!F$2:F$8, MATCH($A20, {"A";"B";"Γ";"Δ";"E";"Z";"H"}, 0)),
    _xlpm.g_b, INDEX(Κανονικοποίηση!F$2:F$8,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H20" s="25" cm="1">
        <f t="array" ref="H20">_xlfn.LET(
    _xlpm.g_a, INDEX(Κανονικοποίηση!G$2:G$8, MATCH($A20, {"A";"B";"Γ";"Δ";"E";"Z";"H"}, 0)),
    _xlpm.g_b, INDEX(Κανονικοποίηση!G$2:G$8,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I20" s="25" cm="1">
        <f t="array" ref="I20">_xlfn.LET(
    _xlpm.g_a, INDEX(Κανονικοποίηση!H$2:H$8, MATCH($A20, {"A";"B";"Γ";"Δ";"E";"Z";"H"}, 0)),
    _xlpm.g_b, INDEX(Κανονικοποίηση!H$2:H$8,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J20" s="25" cm="1">
        <f t="array" ref="J20">_xlfn.LET(
    _xlpm.g_a, INDEX(Κανονικοποίηση!I$2:I$8, MATCH($A20, {"A";"B";"Γ";"Δ";"E";"Z";"H"}, 0)),
    _xlpm.g_b, INDEX(Κανονικοποίηση!I$2:I$8,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K20" s="25" cm="1">
        <f t="array" ref="K20">_xlfn.LET(
    _xlpm.g_a, INDEX(Κανονικοποίηση!J$2:J$8, MATCH($A20, {"A";"B";"Γ";"Δ";"E";"Z";"H"}, 0)),
    _xlpm.g_b, INDEX(Κανονικοποίηση!J$2:J$8,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1</v>
      </c>
      <c r="L20" s="25" cm="1">
        <f t="array" ref="L20">_xlfn.LET(
    _xlpm.g_a, INDEX(Κανονικοποίηση!K$2:K$8, MATCH($A20, {"A";"B";"Γ";"Δ";"E";"Z";"H"}, 0)),
    _xlpm.g_b, INDEX(Κανονικοποίηση!K$2:K$8, MATCH($B20, {"A";"B";"Γ";"Δ";"E";"Z";"H"}, 0)),
    _xlpm.type, "Benefit",
    _xlpm.diff, IF(OR(COLUMN()=3, COLUMN()=8, COLUMN()=9), _xlpm.g_b - _xlpm.g_a, _xlpm.g_a - _xlpm.g_b),
    _xlpm.q, ELECTRE!$R6,
    _xlpm.p, ELECTRE!$S6,
    IF(_xlpm.diff &gt;= -_xlpm.q, 1, IF(_xlpm.diff &lt;= -_xlpm.p, 0, (_xlpm.diff + _xlpm.p) / (_xlpm.p - _xlpm.q)))
)</f>
        <v>0</v>
      </c>
      <c r="M20" s="25" cm="1">
        <f t="array" ref="M20">SUMPRODUCT(C20:L20, TRANSPOSE(Βάρη!$E$2:$E$11))</f>
        <v>0.15279999999999999</v>
      </c>
      <c r="N20" s="25" cm="1">
        <f t="array" ref="N20">SUMPRODUCT(C20:L20, TRANSPOSE(Βάρη!$C$2:$C$11))</f>
        <v>0.18181818181818182</v>
      </c>
      <c r="O20" s="25" cm="1">
        <f t="array" ref="O20">SUMPRODUCT(C20:L20, TRANSPOSE(Βάρη!$D$2:$D$11))</f>
        <v>0.151740956509958</v>
      </c>
      <c r="P20" s="25" cm="1">
        <f t="array" ref="P20">SUMPRODUCT(C20:L20, TRANSPOSE(Βάρη!$F$2:$F$11))</f>
        <v>0.18181818181818182</v>
      </c>
      <c r="Q20" s="41" cm="1">
        <f t="array" ref="Q20">SUMPRODUCT(C20:L20, TRANSPOSE(Σύνοψη!$J$3:$J$12))</f>
        <v>0.60103111901254391</v>
      </c>
    </row>
    <row r="21" spans="1:17">
      <c r="A21" s="7" t="s">
        <v>11</v>
      </c>
      <c r="B21" s="7" t="s">
        <v>17</v>
      </c>
      <c r="C21" s="25" cm="1">
        <f t="array" ref="C21">_xlfn.LET(
    _xlpm.g_a, INDEX(Κανονικοποίηση!B$2:B$8, MATCH($A21, {"A";"B";"Γ";"Δ";"E";"Z";"H"}, 0)),
    _xlpm.g_b, INDEX(Κανονικοποίηση!B$2:B$8,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D21" s="25" cm="1">
        <f t="array" ref="D21">_xlfn.LET(
    _xlpm.g_a, INDEX(Κανονικοποίηση!C$2:C$8, MATCH($A21, {"A";"B";"Γ";"Δ";"E";"Z";"H"}, 0)),
    _xlpm.g_b, INDEX(Κανονικοποίηση!C$2:C$8,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E21" s="25" cm="1">
        <f t="array" ref="E21">_xlfn.LET(
    _xlpm.g_a, INDEX(Κανονικοποίηση!D$2:D$8, MATCH($A21, {"A";"B";"Γ";"Δ";"E";"Z";"H"}, 0)),
    _xlpm.g_b, INDEX(Κανονικοποίηση!D$2:D$8,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F21" s="25" cm="1">
        <f t="array" ref="F21">_xlfn.LET(
    _xlpm.g_a, INDEX(Κανονικοποίηση!E$2:E$8, MATCH($A21, {"A";"B";"Γ";"Δ";"E";"Z";"H"}, 0)),
    _xlpm.g_b, INDEX(Κανονικοποίηση!E$2:E$8,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G21" s="25" cm="1">
        <f t="array" ref="G21">_xlfn.LET(
    _xlpm.g_a, INDEX(Κανονικοποίηση!F$2:F$8, MATCH($A21, {"A";"B";"Γ";"Δ";"E";"Z";"H"}, 0)),
    _xlpm.g_b, INDEX(Κανονικοποίηση!F$2:F$8,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H21" s="25" cm="1">
        <f t="array" ref="H21">_xlfn.LET(
    _xlpm.g_a, INDEX(Κανονικοποίηση!G$2:G$8, MATCH($A21, {"A";"B";"Γ";"Δ";"E";"Z";"H"}, 0)),
    _xlpm.g_b, INDEX(Κανονικοποίηση!G$2:G$8,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I21" s="25" cm="1">
        <f t="array" ref="I21">_xlfn.LET(
    _xlpm.g_a, INDEX(Κανονικοποίηση!H$2:H$8, MATCH($A21, {"A";"B";"Γ";"Δ";"E";"Z";"H"}, 0)),
    _xlpm.g_b, INDEX(Κανονικοποίηση!H$2:H$8,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J21" s="25" cm="1">
        <f t="array" ref="J21">_xlfn.LET(
    _xlpm.g_a, INDEX(Κανονικοποίηση!I$2:I$8, MATCH($A21, {"A";"B";"Γ";"Δ";"E";"Z";"H"}, 0)),
    _xlpm.g_b, INDEX(Κανονικοποίηση!I$2:I$8,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K21" s="25" cm="1">
        <f t="array" ref="K21">_xlfn.LET(
    _xlpm.g_a, INDEX(Κανονικοποίηση!J$2:J$8, MATCH($A21, {"A";"B";"Γ";"Δ";"E";"Z";"H"}, 0)),
    _xlpm.g_b, INDEX(Κανονικοποίηση!J$2:J$8,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L21" s="25" cm="1">
        <f t="array" ref="L21">_xlfn.LET(
    _xlpm.g_a, INDEX(Κανονικοποίηση!K$2:K$8, MATCH($A21, {"A";"B";"Γ";"Δ";"E";"Z";"H"}, 0)),
    _xlpm.g_b, INDEX(Κανονικοποίηση!K$2:K$8, MATCH($B21, {"A";"B";"Γ";"Δ";"E";"Z";"H"}, 0)),
    _xlpm.type, "Benefit",
    _xlpm.diff, IF(OR(COLUMN()=3, COLUMN()=8, COLUMN()=9), _xlpm.g_b - _xlpm.g_a, _xlpm.g_a - _xlpm.g_b),
    _xlpm.q, ELECTRE!$R7,
    _xlpm.p, ELECTRE!$S7,
    IF(_xlpm.diff &gt;= -_xlpm.q, 1, IF(_xlpm.diff &lt;= -_xlpm.p, 0, (_xlpm.diff + _xlpm.p) / (_xlpm.p - _xlpm.q)))
)</f>
        <v>1</v>
      </c>
      <c r="M21" s="25" cm="1">
        <f t="array" ref="M21">SUMPRODUCT(C21:L21, TRANSPOSE(Βάρη!$E$2:$E$11))</f>
        <v>1</v>
      </c>
      <c r="N21" s="25" cm="1">
        <f t="array" ref="N21">SUMPRODUCT(C21:L21, TRANSPOSE(Βάρη!$C$2:$C$11))</f>
        <v>1</v>
      </c>
      <c r="O21" s="25" cm="1">
        <f t="array" ref="O21">SUMPRODUCT(C21:L21, TRANSPOSE(Βάρη!$D$2:$D$11))</f>
        <v>1.0000000000000002</v>
      </c>
      <c r="P21" s="25" cm="1">
        <f t="array" ref="P21">SUMPRODUCT(C21:L21, TRANSPOSE(Βάρη!$F$2:$F$11))</f>
        <v>1</v>
      </c>
      <c r="Q21" s="41" cm="1">
        <f t="array" ref="Q21">SUMPRODUCT(C21:L21, TRANSPOSE(Σύνοψη!$J$3:$J$12))</f>
        <v>3.6602464764590579</v>
      </c>
    </row>
    <row r="22" spans="1:17">
      <c r="A22" s="7" t="s">
        <v>12</v>
      </c>
      <c r="B22" s="7" t="s">
        <v>11</v>
      </c>
      <c r="C22" s="25" cm="1">
        <f t="array" ref="C22">_xlfn.LET(
    _xlpm.g_a, INDEX(Κανονικοποίηση!B$2:B$8, MATCH($A22, {"A";"B";"Γ";"Δ";"E";"Z";"H"}, 0)),
    _xlpm.g_b, INDEX(Κανονικοποίηση!B$2:B$8,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0</v>
      </c>
      <c r="D22" s="25" cm="1">
        <f t="array" ref="D22">_xlfn.LET(
    _xlpm.g_a, INDEX(Κανονικοποίηση!C$2:C$8, MATCH($A22, {"A";"B";"Γ";"Δ";"E";"Z";"H"}, 0)),
    _xlpm.g_b, INDEX(Κανονικοποίηση!C$2:C$8,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0</v>
      </c>
      <c r="E22" s="25" cm="1">
        <f t="array" ref="E22">_xlfn.LET(
    _xlpm.g_a, INDEX(Κανονικοποίηση!D$2:D$8, MATCH($A22, {"A";"B";"Γ";"Δ";"E";"Z";"H"}, 0)),
    _xlpm.g_b, INDEX(Κανονικοποίηση!D$2:D$8,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0</v>
      </c>
      <c r="F22" s="25" cm="1">
        <f t="array" ref="F22">_xlfn.LET(
    _xlpm.g_a, INDEX(Κανονικοποίηση!E$2:E$8, MATCH($A22, {"A";"B";"Γ";"Δ";"E";"Z";"H"}, 0)),
    _xlpm.g_b, INDEX(Κανονικοποίηση!E$2:E$8,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0</v>
      </c>
      <c r="G22" s="25" cm="1">
        <f t="array" ref="G22">_xlfn.LET(
    _xlpm.g_a, INDEX(Κανονικοποίηση!F$2:F$8, MATCH($A22, {"A";"B";"Γ";"Δ";"E";"Z";"H"}, 0)),
    _xlpm.g_b, INDEX(Κανονικοποίηση!F$2:F$8,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1</v>
      </c>
      <c r="H22" s="25" cm="1">
        <f t="array" ref="H22">_xlfn.LET(
    _xlpm.g_a, INDEX(Κανονικοποίηση!G$2:G$8, MATCH($A22, {"A";"B";"Γ";"Δ";"E";"Z";"H"}, 0)),
    _xlpm.g_b, INDEX(Κανονικοποίηση!G$2:G$8,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1</v>
      </c>
      <c r="I22" s="25" cm="1">
        <f t="array" ref="I22">_xlfn.LET(
    _xlpm.g_a, INDEX(Κανονικοποίηση!H$2:H$8, MATCH($A22, {"A";"B";"Γ";"Δ";"E";"Z";"H"}, 0)),
    _xlpm.g_b, INDEX(Κανονικοποίηση!H$2:H$8,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0</v>
      </c>
      <c r="J22" s="25" cm="1">
        <f t="array" ref="J22">_xlfn.LET(
    _xlpm.g_a, INDEX(Κανονικοποίηση!I$2:I$8, MATCH($A22, {"A";"B";"Γ";"Δ";"E";"Z";"H"}, 0)),
    _xlpm.g_b, INDEX(Κανονικοποίηση!I$2:I$8,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1</v>
      </c>
      <c r="K22" s="25" cm="1">
        <f t="array" ref="K22">_xlfn.LET(
    _xlpm.g_a, INDEX(Κανονικοποίηση!J$2:J$8, MATCH($A22, {"A";"B";"Γ";"Δ";"E";"Z";"H"}, 0)),
    _xlpm.g_b, INDEX(Κανονικοποίηση!J$2:J$8,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0</v>
      </c>
      <c r="L22" s="25" cm="1">
        <f t="array" ref="L22">_xlfn.LET(
    _xlpm.g_a, INDEX(Κανονικοποίηση!K$2:K$8, MATCH($A22, {"A";"B";"Γ";"Δ";"E";"Z";"H"}, 0)),
    _xlpm.g_b, INDEX(Κανονικοποίηση!K$2:K$8, MATCH($B22, {"A";"B";"Γ";"Δ";"E";"Z";"H"}, 0)),
    _xlpm.type, "Benefit",
    _xlpm.diff, IF(OR(COLUMN()=3, COLUMN()=8, COLUMN()=9), _xlpm.g_b - _xlpm.g_a, _xlpm.g_a - _xlpm.g_b),
    _xlpm.q, ELECTRE!$R8,
    _xlpm.p, ELECTRE!$S8,
    IF(_xlpm.diff &gt;= -_xlpm.q, 1, IF(_xlpm.diff &lt;= -_xlpm.p, 0, (_xlpm.diff + _xlpm.p) / (_xlpm.p - _xlpm.q)))
)</f>
        <v>1</v>
      </c>
      <c r="M22" s="25" cm="1">
        <f t="array" ref="M22">SUMPRODUCT(C22:L22, TRANSPOSE(Βάρη!$E$2:$E$11))</f>
        <v>0.27990000000000004</v>
      </c>
      <c r="N22" s="25" cm="1">
        <f t="array" ref="N22">SUMPRODUCT(C22:L22, TRANSPOSE(Βάρη!$C$2:$C$11))</f>
        <v>0.34545454545454546</v>
      </c>
      <c r="O22" s="25" cm="1">
        <f t="array" ref="O22">SUMPRODUCT(C22:L22, TRANSPOSE(Βάρη!$D$2:$D$11))</f>
        <v>0.24468229237230729</v>
      </c>
      <c r="P22" s="25" cm="1">
        <f t="array" ref="P22">SUMPRODUCT(C22:L22, TRANSPOSE(Βάρη!$F$2:$F$11))</f>
        <v>0.27272727272727276</v>
      </c>
      <c r="Q22" s="41" cm="1">
        <f t="array" ref="Q22">SUMPRODUCT(C22:L22, TRANSPOSE(Σύνοψη!$J$3:$J$12))</f>
        <v>0.97663670983659967</v>
      </c>
    </row>
    <row r="23" spans="1:17">
      <c r="A23" s="7" t="s">
        <v>12</v>
      </c>
      <c r="B23" s="7" t="s">
        <v>13</v>
      </c>
      <c r="C23" s="25" cm="1">
        <f t="array" ref="C23">_xlfn.LET(
    _xlpm.g_a, INDEX(Κανονικοποίηση!B$2:B$8, MATCH($A23, {"A";"B";"Γ";"Δ";"E";"Z";"H"}, 0)),
    _xlpm.g_b, INDEX(Κανονικοποίηση!B$2:B$8,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1</v>
      </c>
      <c r="D23" s="25" cm="1">
        <f t="array" ref="D23">_xlfn.LET(
    _xlpm.g_a, INDEX(Κανονικοποίηση!C$2:C$8, MATCH($A23, {"A";"B";"Γ";"Δ";"E";"Z";"H"}, 0)),
    _xlpm.g_b, INDEX(Κανονικοποίηση!C$2:C$8,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0</v>
      </c>
      <c r="E23" s="25" cm="1">
        <f t="array" ref="E23">_xlfn.LET(
    _xlpm.g_a, INDEX(Κανονικοποίηση!D$2:D$8, MATCH($A23, {"A";"B";"Γ";"Δ";"E";"Z";"H"}, 0)),
    _xlpm.g_b, INDEX(Κανονικοποίηση!D$2:D$8,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0</v>
      </c>
      <c r="F23" s="25" cm="1">
        <f t="array" ref="F23">_xlfn.LET(
    _xlpm.g_a, INDEX(Κανονικοποίηση!E$2:E$8, MATCH($A23, {"A";"B";"Γ";"Δ";"E";"Z";"H"}, 0)),
    _xlpm.g_b, INDEX(Κανονικοποίηση!E$2:E$8,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1</v>
      </c>
      <c r="G23" s="25" cm="1">
        <f t="array" ref="G23">_xlfn.LET(
    _xlpm.g_a, INDEX(Κανονικοποίηση!F$2:F$8, MATCH($A23, {"A";"B";"Γ";"Δ";"E";"Z";"H"}, 0)),
    _xlpm.g_b, INDEX(Κανονικοποίηση!F$2:F$8,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0</v>
      </c>
      <c r="H23" s="25" cm="1">
        <f t="array" ref="H23">_xlfn.LET(
    _xlpm.g_a, INDEX(Κανονικοποίηση!G$2:G$8, MATCH($A23, {"A";"B";"Γ";"Δ";"E";"Z";"H"}, 0)),
    _xlpm.g_b, INDEX(Κανονικοποίηση!G$2:G$8,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1</v>
      </c>
      <c r="I23" s="25" cm="1">
        <f t="array" ref="I23">_xlfn.LET(
    _xlpm.g_a, INDEX(Κανονικοποίηση!H$2:H$8, MATCH($A23, {"A";"B";"Γ";"Δ";"E";"Z";"H"}, 0)),
    _xlpm.g_b, INDEX(Κανονικοποίηση!H$2:H$8,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0</v>
      </c>
      <c r="J23" s="25" cm="1">
        <f t="array" ref="J23">_xlfn.LET(
    _xlpm.g_a, INDEX(Κανονικοποίηση!I$2:I$8, MATCH($A23, {"A";"B";"Γ";"Δ";"E";"Z";"H"}, 0)),
    _xlpm.g_b, INDEX(Κανονικοποίηση!I$2:I$8,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1</v>
      </c>
      <c r="K23" s="25" cm="1">
        <f t="array" ref="K23">_xlfn.LET(
    _xlpm.g_a, INDEX(Κανονικοποίηση!J$2:J$8, MATCH($A23, {"A";"B";"Γ";"Δ";"E";"Z";"H"}, 0)),
    _xlpm.g_b, INDEX(Κανονικοποίηση!J$2:J$8,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1</v>
      </c>
      <c r="L23" s="25" cm="1">
        <f t="array" ref="L23">_xlfn.LET(
    _xlpm.g_a, INDEX(Κανονικοποίηση!K$2:K$8, MATCH($A23, {"A";"B";"Γ";"Δ";"E";"Z";"H"}, 0)),
    _xlpm.g_b, INDEX(Κανονικοποίηση!K$2:K$8, MATCH($B23, {"A";"B";"Γ";"Δ";"E";"Z";"H"}, 0)),
    _xlpm.type, "Benefit",
    _xlpm.diff, IF(OR(COLUMN()=3, COLUMN()=8, COLUMN()=9), _xlpm.g_b - _xlpm.g_a, _xlpm.g_a - _xlpm.g_b),
    _xlpm.q, ELECTRE!$R9,
    _xlpm.p, ELECTRE!$S9,
    IF(_xlpm.diff &gt;= -_xlpm.q, 1, IF(_xlpm.diff &lt;= -_xlpm.p, 0, (_xlpm.diff + _xlpm.p) / (_xlpm.p - _xlpm.q)))
)</f>
        <v>1</v>
      </c>
      <c r="M23" s="25" cm="1">
        <f t="array" ref="M23">SUMPRODUCT(C23:L23, TRANSPOSE(Βάρη!$E$2:$E$11))</f>
        <v>0.56600000000000006</v>
      </c>
      <c r="N23" s="25" cm="1">
        <f t="array" ref="N23">SUMPRODUCT(C23:L23, TRANSPOSE(Βάρη!$C$2:$C$11))</f>
        <v>0.54545454545454541</v>
      </c>
      <c r="O23" s="25" cm="1">
        <f t="array" ref="O23">SUMPRODUCT(C23:L23, TRANSPOSE(Βάρη!$D$2:$D$11))</f>
        <v>0.61590570383416887</v>
      </c>
      <c r="P23" s="25" cm="1">
        <f t="array" ref="P23">SUMPRODUCT(C23:L23, TRANSPOSE(Βάρη!$F$2:$F$11))</f>
        <v>0.50909090909090915</v>
      </c>
      <c r="Q23" s="41" cm="1">
        <f t="array" ref="Q23">SUMPRODUCT(C23:L23, TRANSPOSE(Σύνοψη!$J$3:$J$12))</f>
        <v>1.8104642720882262</v>
      </c>
    </row>
    <row r="24" spans="1:17">
      <c r="A24" s="7" t="s">
        <v>12</v>
      </c>
      <c r="B24" s="7" t="s">
        <v>14</v>
      </c>
      <c r="C24" s="25" cm="1">
        <f t="array" ref="C24">_xlfn.LET(
    _xlpm.g_a, INDEX(Κανονικοποίηση!B$2:B$8, MATCH($A24, {"A";"B";"Γ";"Δ";"E";"Z";"H"}, 0)),
    _xlpm.g_b, INDEX(Κανονικοποίηση!B$2:B$8,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D24" s="25" cm="1">
        <f t="array" ref="D24">_xlfn.LET(
    _xlpm.g_a, INDEX(Κανονικοποίηση!C$2:C$8, MATCH($A24, {"A";"B";"Γ";"Δ";"E";"Z";"H"}, 0)),
    _xlpm.g_b, INDEX(Κανονικοποίηση!C$2:C$8,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E24" s="25" cm="1">
        <f t="array" ref="E24">_xlfn.LET(
    _xlpm.g_a, INDEX(Κανονικοποίηση!D$2:D$8, MATCH($A24, {"A";"B";"Γ";"Δ";"E";"Z";"H"}, 0)),
    _xlpm.g_b, INDEX(Κανονικοποίηση!D$2:D$8,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F24" s="25" cm="1">
        <f t="array" ref="F24">_xlfn.LET(
    _xlpm.g_a, INDEX(Κανονικοποίηση!E$2:E$8, MATCH($A24, {"A";"B";"Γ";"Δ";"E";"Z";"H"}, 0)),
    _xlpm.g_b, INDEX(Κανονικοποίηση!E$2:E$8,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G24" s="25" cm="1">
        <f t="array" ref="G24">_xlfn.LET(
    _xlpm.g_a, INDEX(Κανονικοποίηση!F$2:F$8, MATCH($A24, {"A";"B";"Γ";"Δ";"E";"Z";"H"}, 0)),
    _xlpm.g_b, INDEX(Κανονικοποίηση!F$2:F$8,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H24" s="25" cm="1">
        <f t="array" ref="H24">_xlfn.LET(
    _xlpm.g_a, INDEX(Κανονικοποίηση!G$2:G$8, MATCH($A24, {"A";"B";"Γ";"Δ";"E";"Z";"H"}, 0)),
    _xlpm.g_b, INDEX(Κανονικοποίηση!G$2:G$8,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I24" s="25" cm="1">
        <f t="array" ref="I24">_xlfn.LET(
    _xlpm.g_a, INDEX(Κανονικοποίηση!H$2:H$8, MATCH($A24, {"A";"B";"Γ";"Δ";"E";"Z";"H"}, 0)),
    _xlpm.g_b, INDEX(Κανονικοποίηση!H$2:H$8,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J24" s="25" cm="1">
        <f t="array" ref="J24">_xlfn.LET(
    _xlpm.g_a, INDEX(Κανονικοποίηση!I$2:I$8, MATCH($A24, {"A";"B";"Γ";"Δ";"E";"Z";"H"}, 0)),
    _xlpm.g_b, INDEX(Κανονικοποίηση!I$2:I$8,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K24" s="25" cm="1">
        <f t="array" ref="K24">_xlfn.LET(
    _xlpm.g_a, INDEX(Κανονικοποίηση!J$2:J$8, MATCH($A24, {"A";"B";"Γ";"Δ";"E";"Z";"H"}, 0)),
    _xlpm.g_b, INDEX(Κανονικοποίηση!J$2:J$8,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1</v>
      </c>
      <c r="L24" s="25" cm="1">
        <f t="array" ref="L24">_xlfn.LET(
    _xlpm.g_a, INDEX(Κανονικοποίηση!K$2:K$8, MATCH($A24, {"A";"B";"Γ";"Δ";"E";"Z";"H"}, 0)),
    _xlpm.g_b, INDEX(Κανονικοποίηση!K$2:K$8, MATCH($B24, {"A";"B";"Γ";"Δ";"E";"Z";"H"}, 0)),
    _xlpm.type, "Benefit",
    _xlpm.diff, IF(OR(COLUMN()=3, COLUMN()=8, COLUMN()=9), _xlpm.g_b - _xlpm.g_a, _xlpm.g_a - _xlpm.g_b),
    _xlpm.q, ELECTRE!$R10,
    _xlpm.p, ELECTRE!$S10,
    IF(_xlpm.diff &gt;= -_xlpm.q, 1, IF(_xlpm.diff &lt;= -_xlpm.p, 0, (_xlpm.diff + _xlpm.p) / (_xlpm.p - _xlpm.q)))
)</f>
        <v>0</v>
      </c>
      <c r="M24" s="25" cm="1">
        <f t="array" ref="M24">SUMPRODUCT(C24:L24, TRANSPOSE(Βάρη!$E$2:$E$11))</f>
        <v>9.9000000000000008E-3</v>
      </c>
      <c r="N24" s="25" cm="1">
        <f t="array" ref="N24">SUMPRODUCT(C24:L24, TRANSPOSE(Βάρη!$C$2:$C$11))</f>
        <v>3.6363636363636362E-2</v>
      </c>
      <c r="O24" s="25" cm="1">
        <f t="array" ref="O24">SUMPRODUCT(C24:L24, TRANSPOSE(Βάρη!$D$2:$D$11))</f>
        <v>3.7935239127489501E-2</v>
      </c>
      <c r="P24" s="25" cm="1">
        <f t="array" ref="P24">SUMPRODUCT(C24:L24, TRANSPOSE(Βάρη!$F$2:$F$11))</f>
        <v>3.6363636363636362E-2</v>
      </c>
      <c r="Q24" s="41" cm="1">
        <f t="array" ref="Q24">SUMPRODUCT(C24:L24, TRANSPOSE(Σύνοψη!$J$3:$J$12))</f>
        <v>0</v>
      </c>
    </row>
    <row r="25" spans="1:17">
      <c r="A25" s="7" t="s">
        <v>12</v>
      </c>
      <c r="B25" s="7" t="s">
        <v>15</v>
      </c>
      <c r="C25" s="25" cm="1">
        <f t="array" ref="C25">_xlfn.LET(
    _xlpm.g_a, INDEX(Κανονικοποίηση!B$2:B$8, MATCH($A25, {"A";"B";"Γ";"Δ";"E";"Z";"H"}, 0)),
    _xlpm.g_b, INDEX(Κανονικοποίηση!B$2:B$8,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D25" s="25" cm="1">
        <f t="array" ref="D25">_xlfn.LET(
    _xlpm.g_a, INDEX(Κανονικοποίηση!C$2:C$8, MATCH($A25, {"A";"B";"Γ";"Δ";"E";"Z";"H"}, 0)),
    _xlpm.g_b, INDEX(Κανονικοποίηση!C$2:C$8,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E25" s="25" cm="1">
        <f t="array" ref="E25">_xlfn.LET(
    _xlpm.g_a, INDEX(Κανονικοποίηση!D$2:D$8, MATCH($A25, {"A";"B";"Γ";"Δ";"E";"Z";"H"}, 0)),
    _xlpm.g_b, INDEX(Κανονικοποίηση!D$2:D$8,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F25" s="25" cm="1">
        <f t="array" ref="F25">_xlfn.LET(
    _xlpm.g_a, INDEX(Κανονικοποίηση!E$2:E$8, MATCH($A25, {"A";"B";"Γ";"Δ";"E";"Z";"H"}, 0)),
    _xlpm.g_b, INDEX(Κανονικοποίηση!E$2:E$8,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G25" s="25" cm="1">
        <f t="array" ref="G25">_xlfn.LET(
    _xlpm.g_a, INDEX(Κανονικοποίηση!F$2:F$8, MATCH($A25, {"A";"B";"Γ";"Δ";"E";"Z";"H"}, 0)),
    _xlpm.g_b, INDEX(Κανονικοποίηση!F$2:F$8,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H25" s="25" cm="1">
        <f t="array" ref="H25">_xlfn.LET(
    _xlpm.g_a, INDEX(Κανονικοποίηση!G$2:G$8, MATCH($A25, {"A";"B";"Γ";"Δ";"E";"Z";"H"}, 0)),
    _xlpm.g_b, INDEX(Κανονικοποίηση!G$2:G$8,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I25" s="25" cm="1">
        <f t="array" ref="I25">_xlfn.LET(
    _xlpm.g_a, INDEX(Κανονικοποίηση!H$2:H$8, MATCH($A25, {"A";"B";"Γ";"Δ";"E";"Z";"H"}, 0)),
    _xlpm.g_b, INDEX(Κανονικοποίηση!H$2:H$8,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J25" s="25" cm="1">
        <f t="array" ref="J25">_xlfn.LET(
    _xlpm.g_a, INDEX(Κανονικοποίηση!I$2:I$8, MATCH($A25, {"A";"B";"Γ";"Δ";"E";"Z";"H"}, 0)),
    _xlpm.g_b, INDEX(Κανονικοποίηση!I$2:I$8,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K25" s="25" cm="1">
        <f t="array" ref="K25">_xlfn.LET(
    _xlpm.g_a, INDEX(Κανονικοποίηση!J$2:J$8, MATCH($A25, {"A";"B";"Γ";"Δ";"E";"Z";"H"}, 0)),
    _xlpm.g_b, INDEX(Κανονικοποίηση!J$2:J$8,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L25" s="25" cm="1">
        <f t="array" ref="L25">_xlfn.LET(
    _xlpm.g_a, INDEX(Κανονικοποίηση!K$2:K$8, MATCH($A25, {"A";"B";"Γ";"Δ";"E";"Z";"H"}, 0)),
    _xlpm.g_b, INDEX(Κανονικοποίηση!K$2:K$8, MATCH($B25, {"A";"B";"Γ";"Δ";"E";"Z";"H"}, 0)),
    _xlpm.type, "Benefit",
    _xlpm.diff, IF(OR(COLUMN()=3, COLUMN()=8, COLUMN()=9), _xlpm.g_b - _xlpm.g_a, _xlpm.g_a - _xlpm.g_b),
    _xlpm.q, ELECTRE!$R11,
    _xlpm.p, ELECTRE!$S11,
    IF(_xlpm.diff &gt;= -_xlpm.q, 1, IF(_xlpm.diff &lt;= -_xlpm.p, 0, (_xlpm.diff + _xlpm.p) / (_xlpm.p - _xlpm.q)))
)</f>
        <v>1</v>
      </c>
      <c r="M25" s="25" cm="1">
        <f t="array" ref="M25">SUMPRODUCT(C25:L25, TRANSPOSE(Βάρη!$E$2:$E$11))</f>
        <v>1</v>
      </c>
      <c r="N25" s="25" cm="1">
        <f t="array" ref="N25">SUMPRODUCT(C25:L25, TRANSPOSE(Βάρη!$C$2:$C$11))</f>
        <v>1</v>
      </c>
      <c r="O25" s="25" cm="1">
        <f t="array" ref="O25">SUMPRODUCT(C25:L25, TRANSPOSE(Βάρη!$D$2:$D$11))</f>
        <v>1.0000000000000002</v>
      </c>
      <c r="P25" s="25" cm="1">
        <f t="array" ref="P25">SUMPRODUCT(C25:L25, TRANSPOSE(Βάρη!$F$2:$F$11))</f>
        <v>1</v>
      </c>
      <c r="Q25" s="41" cm="1">
        <f t="array" ref="Q25">SUMPRODUCT(C25:L25, TRANSPOSE(Σύνοψη!$J$3:$J$12))</f>
        <v>3.6602464764590579</v>
      </c>
    </row>
    <row r="26" spans="1:17">
      <c r="A26" s="7" t="s">
        <v>12</v>
      </c>
      <c r="B26" s="7" t="s">
        <v>16</v>
      </c>
      <c r="C26" s="25" cm="1">
        <f t="array" ref="C26">_xlfn.LET(
    _xlpm.g_a, INDEX(Κανονικοποίηση!B$2:B$8, MATCH($A26, {"A";"B";"Γ";"Δ";"E";"Z";"H"}, 0)),
    _xlpm.g_b, INDEX(Κανονικοποίηση!B$2:B$8,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0</v>
      </c>
      <c r="D26" s="25" cm="1">
        <f t="array" ref="D26">_xlfn.LET(
    _xlpm.g_a, INDEX(Κανονικοποίηση!C$2:C$8, MATCH($A26, {"A";"B";"Γ";"Δ";"E";"Z";"H"}, 0)),
    _xlpm.g_b, INDEX(Κανονικοποίηση!C$2:C$8,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0</v>
      </c>
      <c r="E26" s="25" cm="1">
        <f t="array" ref="E26">_xlfn.LET(
    _xlpm.g_a, INDEX(Κανονικοποίηση!D$2:D$8, MATCH($A26, {"A";"B";"Γ";"Δ";"E";"Z";"H"}, 0)),
    _xlpm.g_b, INDEX(Κανονικοποίηση!D$2:D$8,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0</v>
      </c>
      <c r="F26" s="25" cm="1">
        <f t="array" ref="F26">_xlfn.LET(
    _xlpm.g_a, INDEX(Κανονικοποίηση!E$2:E$8, MATCH($A26, {"A";"B";"Γ";"Δ";"E";"Z";"H"}, 0)),
    _xlpm.g_b, INDEX(Κανονικοποίηση!E$2:E$8,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0</v>
      </c>
      <c r="G26" s="25" cm="1">
        <f t="array" ref="G26">_xlfn.LET(
    _xlpm.g_a, INDEX(Κανονικοποίηση!F$2:F$8, MATCH($A26, {"A";"B";"Γ";"Δ";"E";"Z";"H"}, 0)),
    _xlpm.g_b, INDEX(Κανονικοποίηση!F$2:F$8,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0</v>
      </c>
      <c r="H26" s="25" cm="1">
        <f t="array" ref="H26">_xlfn.LET(
    _xlpm.g_a, INDEX(Κανονικοποίηση!G$2:G$8, MATCH($A26, {"A";"B";"Γ";"Δ";"E";"Z";"H"}, 0)),
    _xlpm.g_b, INDEX(Κανονικοποίηση!G$2:G$8,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1</v>
      </c>
      <c r="I26" s="25" cm="1">
        <f t="array" ref="I26">_xlfn.LET(
    _xlpm.g_a, INDEX(Κανονικοποίηση!H$2:H$8, MATCH($A26, {"A";"B";"Γ";"Δ";"E";"Z";"H"}, 0)),
    _xlpm.g_b, INDEX(Κανονικοποίηση!H$2:H$8,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0</v>
      </c>
      <c r="J26" s="25" cm="1">
        <f t="array" ref="J26">_xlfn.LET(
    _xlpm.g_a, INDEX(Κανονικοποίηση!I$2:I$8, MATCH($A26, {"A";"B";"Γ";"Δ";"E";"Z";"H"}, 0)),
    _xlpm.g_b, INDEX(Κανονικοποίηση!I$2:I$8,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0</v>
      </c>
      <c r="K26" s="25" cm="1">
        <f t="array" ref="K26">_xlfn.LET(
    _xlpm.g_a, INDEX(Κανονικοποίηση!J$2:J$8, MATCH($A26, {"A";"B";"Γ";"Δ";"E";"Z";"H"}, 0)),
    _xlpm.g_b, INDEX(Κανονικοποίηση!J$2:J$8,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1</v>
      </c>
      <c r="L26" s="25" cm="1">
        <f t="array" ref="L26">_xlfn.LET(
    _xlpm.g_a, INDEX(Κανονικοποίηση!K$2:K$8, MATCH($A26, {"A";"B";"Γ";"Δ";"E";"Z";"H"}, 0)),
    _xlpm.g_b, INDEX(Κανονικοποίηση!K$2:K$8, MATCH($B26, {"A";"B";"Γ";"Δ";"E";"Z";"H"}, 0)),
    _xlpm.type, "Benefit",
    _xlpm.diff, IF(OR(COLUMN()=3, COLUMN()=8, COLUMN()=9), _xlpm.g_b - _xlpm.g_a, _xlpm.g_a - _xlpm.g_b),
    _xlpm.q, ELECTRE!$R12,
    _xlpm.p, ELECTRE!$S12,
    IF(_xlpm.diff &gt;= -_xlpm.q, 1, IF(_xlpm.diff &lt;= -_xlpm.p, 0, (_xlpm.diff + _xlpm.p) / (_xlpm.p - _xlpm.q)))
)</f>
        <v>1</v>
      </c>
      <c r="M26" s="25" cm="1">
        <f t="array" ref="M26">SUMPRODUCT(C26:L26, TRANSPOSE(Βάρη!$E$2:$E$11))</f>
        <v>0.1406</v>
      </c>
      <c r="N26" s="25" cm="1">
        <f t="array" ref="N26">SUMPRODUCT(C26:L26, TRANSPOSE(Βάρη!$C$2:$C$11))</f>
        <v>0.18181818181818182</v>
      </c>
      <c r="O26" s="25" cm="1">
        <f t="array" ref="O26">SUMPRODUCT(C26:L26, TRANSPOSE(Βάρη!$D$2:$D$11))</f>
        <v>0.15743124237908143</v>
      </c>
      <c r="P26" s="25" cm="1">
        <f t="array" ref="P26">SUMPRODUCT(C26:L26, TRANSPOSE(Βάρη!$F$2:$F$11))</f>
        <v>0.14545454545454545</v>
      </c>
      <c r="Q26" s="41" cm="1">
        <f t="array" ref="Q26">SUMPRODUCT(C26:L26, TRANSPOSE(Σύνοψη!$J$3:$J$12))</f>
        <v>0.60779830337648166</v>
      </c>
    </row>
    <row r="27" spans="1:17">
      <c r="A27" s="7" t="s">
        <v>12</v>
      </c>
      <c r="B27" s="7" t="s">
        <v>17</v>
      </c>
      <c r="C27" s="25" cm="1">
        <f t="array" ref="C27">_xlfn.LET(
    _xlpm.g_a, INDEX(Κανονικοποίηση!B$2:B$8, MATCH($A27, {"A";"B";"Γ";"Δ";"E";"Z";"H"}, 0)),
    _xlpm.g_b, INDEX(Κανονικοποίηση!B$2:B$8,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D27" s="25" cm="1">
        <f t="array" ref="D27">_xlfn.LET(
    _xlpm.g_a, INDEX(Κανονικοποίηση!C$2:C$8, MATCH($A27, {"A";"B";"Γ";"Δ";"E";"Z";"H"}, 0)),
    _xlpm.g_b, INDEX(Κανονικοποίηση!C$2:C$8,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E27" s="25" cm="1">
        <f t="array" ref="E27">_xlfn.LET(
    _xlpm.g_a, INDEX(Κανονικοποίηση!D$2:D$8, MATCH($A27, {"A";"B";"Γ";"Δ";"E";"Z";"H"}, 0)),
    _xlpm.g_b, INDEX(Κανονικοποίηση!D$2:D$8,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F27" s="25" cm="1">
        <f t="array" ref="F27">_xlfn.LET(
    _xlpm.g_a, INDEX(Κανονικοποίηση!E$2:E$8, MATCH($A27, {"A";"B";"Γ";"Δ";"E";"Z";"H"}, 0)),
    _xlpm.g_b, INDEX(Κανονικοποίηση!E$2:E$8,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G27" s="25" cm="1">
        <f t="array" ref="G27">_xlfn.LET(
    _xlpm.g_a, INDEX(Κανονικοποίηση!F$2:F$8, MATCH($A27, {"A";"B";"Γ";"Δ";"E";"Z";"H"}, 0)),
    _xlpm.g_b, INDEX(Κανονικοποίηση!F$2:F$8,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H27" s="25" cm="1">
        <f t="array" ref="H27">_xlfn.LET(
    _xlpm.g_a, INDEX(Κανονικοποίηση!G$2:G$8, MATCH($A27, {"A";"B";"Γ";"Δ";"E";"Z";"H"}, 0)),
    _xlpm.g_b, INDEX(Κανονικοποίηση!G$2:G$8,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I27" s="25" cm="1">
        <f t="array" ref="I27">_xlfn.LET(
    _xlpm.g_a, INDEX(Κανονικοποίηση!H$2:H$8, MATCH($A27, {"A";"B";"Γ";"Δ";"E";"Z";"H"}, 0)),
    _xlpm.g_b, INDEX(Κανονικοποίηση!H$2:H$8,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0</v>
      </c>
      <c r="J27" s="25" cm="1">
        <f t="array" ref="J27">_xlfn.LET(
    _xlpm.g_a, INDEX(Κανονικοποίηση!I$2:I$8, MATCH($A27, {"A";"B";"Γ";"Δ";"E";"Z";"H"}, 0)),
    _xlpm.g_b, INDEX(Κανονικοποίηση!I$2:I$8,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K27" s="25" cm="1">
        <f t="array" ref="K27">_xlfn.LET(
    _xlpm.g_a, INDEX(Κανονικοποίηση!J$2:J$8, MATCH($A27, {"A";"B";"Γ";"Δ";"E";"Z";"H"}, 0)),
    _xlpm.g_b, INDEX(Κανονικοποίηση!J$2:J$8,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L27" s="25" cm="1">
        <f t="array" ref="L27">_xlfn.LET(
    _xlpm.g_a, INDEX(Κανονικοποίηση!K$2:K$8, MATCH($A27, {"A";"B";"Γ";"Δ";"E";"Z";"H"}, 0)),
    _xlpm.g_b, INDEX(Κανονικοποίηση!K$2:K$8, MATCH($B27, {"A";"B";"Γ";"Δ";"E";"Z";"H"}, 0)),
    _xlpm.type, "Benefit",
    _xlpm.diff, IF(OR(COLUMN()=3, COLUMN()=8, COLUMN()=9), _xlpm.g_b - _xlpm.g_a, _xlpm.g_a - _xlpm.g_b),
    _xlpm.q, ELECTRE!$R13,
    _xlpm.p, ELECTRE!$S13,
    IF(_xlpm.diff &gt;= -_xlpm.q, 1, IF(_xlpm.diff &lt;= -_xlpm.p, 0, (_xlpm.diff + _xlpm.p) / (_xlpm.p - _xlpm.q)))
)</f>
        <v>1</v>
      </c>
      <c r="M27" s="25" cm="1">
        <f t="array" ref="M27">SUMPRODUCT(C27:L27, TRANSPOSE(Βάρη!$E$2:$E$11))</f>
        <v>0.96640000000000015</v>
      </c>
      <c r="N27" s="25" cm="1">
        <f t="array" ref="N27">SUMPRODUCT(C27:L27, TRANSPOSE(Βάρη!$C$2:$C$11))</f>
        <v>0.94545454545454544</v>
      </c>
      <c r="O27" s="25" cm="1">
        <f t="array" ref="O27">SUMPRODUCT(C27:L27, TRANSPOSE(Βάρη!$D$2:$D$11))</f>
        <v>0.95732285598157441</v>
      </c>
      <c r="P27" s="25" cm="1">
        <f t="array" ref="P27">SUMPRODUCT(C27:L27, TRANSPOSE(Βάρη!$F$2:$F$11))</f>
        <v>0.92727272727272736</v>
      </c>
      <c r="Q27" s="41" cm="1">
        <f t="array" ref="Q27">SUMPRODUCT(C27:L27, TRANSPOSE(Σύνοψη!$J$3:$J$12))</f>
        <v>3.2316543064039043</v>
      </c>
    </row>
    <row r="28" spans="1:17">
      <c r="A28" s="7" t="s">
        <v>13</v>
      </c>
      <c r="B28" s="7" t="s">
        <v>11</v>
      </c>
      <c r="C28" s="25" cm="1">
        <f t="array" ref="C28">_xlfn.LET(
    _xlpm.g_a, INDEX(Κανονικοποίηση!B$2:B$8, MATCH($A28, {"A";"B";"Γ";"Δ";"E";"Z";"H"}, 0)),
    _xlpm.g_b, INDEX(Κανονικοποίηση!B$2:B$8,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0</v>
      </c>
      <c r="D28" s="25" cm="1">
        <f t="array" ref="D28">_xlfn.LET(
    _xlpm.g_a, INDEX(Κανονικοποίηση!C$2:C$8, MATCH($A28, {"A";"B";"Γ";"Δ";"E";"Z";"H"}, 0)),
    _xlpm.g_b, INDEX(Κανονικοποίηση!C$2:C$8,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0</v>
      </c>
      <c r="E28" s="25" cm="1">
        <f t="array" ref="E28">_xlfn.LET(
    _xlpm.g_a, INDEX(Κανονικοποίηση!D$2:D$8, MATCH($A28, {"A";"B";"Γ";"Δ";"E";"Z";"H"}, 0)),
    _xlpm.g_b, INDEX(Κανονικοποίηση!D$2:D$8,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1</v>
      </c>
      <c r="F28" s="25" cm="1">
        <f t="array" ref="F28">_xlfn.LET(
    _xlpm.g_a, INDEX(Κανονικοποίηση!E$2:E$8, MATCH($A28, {"A";"B";"Γ";"Δ";"E";"Z";"H"}, 0)),
    _xlpm.g_b, INDEX(Κανονικοποίηση!E$2:E$8,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0</v>
      </c>
      <c r="G28" s="25" cm="1">
        <f t="array" ref="G28">_xlfn.LET(
    _xlpm.g_a, INDEX(Κανονικοποίηση!F$2:F$8, MATCH($A28, {"A";"B";"Γ";"Δ";"E";"Z";"H"}, 0)),
    _xlpm.g_b, INDEX(Κανονικοποίηση!F$2:F$8,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1</v>
      </c>
      <c r="H28" s="25" cm="1">
        <f t="array" ref="H28">_xlfn.LET(
    _xlpm.g_a, INDEX(Κανονικοποίηση!G$2:G$8, MATCH($A28, {"A";"B";"Γ";"Δ";"E";"Z";"H"}, 0)),
    _xlpm.g_b, INDEX(Κανονικοποίηση!G$2:G$8,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0</v>
      </c>
      <c r="I28" s="25" cm="1">
        <f t="array" ref="I28">_xlfn.LET(
    _xlpm.g_a, INDEX(Κανονικοποίηση!H$2:H$8, MATCH($A28, {"A";"B";"Γ";"Δ";"E";"Z";"H"}, 0)),
    _xlpm.g_b, INDEX(Κανονικοποίηση!H$2:H$8,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0</v>
      </c>
      <c r="J28" s="25" cm="1">
        <f t="array" ref="J28">_xlfn.LET(
    _xlpm.g_a, INDEX(Κανονικοποίηση!I$2:I$8, MATCH($A28, {"A";"B";"Γ";"Δ";"E";"Z";"H"}, 0)),
    _xlpm.g_b, INDEX(Κανονικοποίηση!I$2:I$8,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0</v>
      </c>
      <c r="K28" s="25" cm="1">
        <f t="array" ref="K28">_xlfn.LET(
    _xlpm.g_a, INDEX(Κανονικοποίηση!J$2:J$8, MATCH($A28, {"A";"B";"Γ";"Δ";"E";"Z";"H"}, 0)),
    _xlpm.g_b, INDEX(Κανονικοποίηση!J$2:J$8,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0</v>
      </c>
      <c r="L28" s="25" cm="1">
        <f t="array" ref="L28">_xlfn.LET(
    _xlpm.g_a, INDEX(Κανονικοποίηση!K$2:K$8, MATCH($A28, {"A";"B";"Γ";"Δ";"E";"Z";"H"}, 0)),
    _xlpm.g_b, INDEX(Κανονικοποίηση!K$2:K$8, MATCH($B28, {"A";"B";"Γ";"Δ";"E";"Z";"H"}, 0)),
    _xlpm.type, "Benefit",
    _xlpm.diff, IF(OR(COLUMN()=3, COLUMN()=8, COLUMN()=9), _xlpm.g_b - _xlpm.g_a, _xlpm.g_a - _xlpm.g_b),
    _xlpm.q, ELECTRE!$R14,
    _xlpm.p, ELECTRE!$S14,
    IF(_xlpm.diff &gt;= -_xlpm.q, 1, IF(_xlpm.diff &lt;= -_xlpm.p, 0, (_xlpm.diff + _xlpm.p) / (_xlpm.p - _xlpm.q)))
)</f>
        <v>1</v>
      </c>
      <c r="M28" s="25" cm="1">
        <f t="array" ref="M28">SUMPRODUCT(C28:L28, TRANSPOSE(Βάρη!$E$2:$E$11))</f>
        <v>0.22860000000000003</v>
      </c>
      <c r="N28" s="25" cm="1">
        <f t="array" ref="N28">SUMPRODUCT(C28:L28, TRANSPOSE(Βάρη!$C$2:$C$11))</f>
        <v>0.25454545454545452</v>
      </c>
      <c r="O28" s="25" cm="1">
        <f t="array" ref="O28">SUMPRODUCT(C28:L28, TRANSPOSE(Βάρη!$D$2:$D$11))</f>
        <v>0.20485029128844331</v>
      </c>
      <c r="P28" s="25" cm="1">
        <f t="array" ref="P28">SUMPRODUCT(C28:L28, TRANSPOSE(Βάρη!$F$2:$F$11))</f>
        <v>0.27272727272727271</v>
      </c>
      <c r="Q28" s="41" cm="1">
        <f t="array" ref="Q28">SUMPRODUCT(C28:L28, TRANSPOSE(Σύνοψη!$J$3:$J$12))</f>
        <v>0.96986952547266192</v>
      </c>
    </row>
    <row r="29" spans="1:17">
      <c r="A29" s="7" t="s">
        <v>13</v>
      </c>
      <c r="B29" s="7" t="s">
        <v>12</v>
      </c>
      <c r="C29" s="25" cm="1">
        <f t="array" ref="C29">_xlfn.LET(
    _xlpm.g_a, INDEX(Κανονικοποίηση!B$2:B$8, MATCH($A29, {"A";"B";"Γ";"Δ";"E";"Z";"H"}, 0)),
    _xlpm.g_b, INDEX(Κανονικοποίηση!B$2:B$8,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0</v>
      </c>
      <c r="D29" s="25" cm="1">
        <f t="array" ref="D29">_xlfn.LET(
    _xlpm.g_a, INDEX(Κανονικοποίηση!C$2:C$8, MATCH($A29, {"A";"B";"Γ";"Δ";"E";"Z";"H"}, 0)),
    _xlpm.g_b, INDEX(Κανονικοποίηση!C$2:C$8,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1</v>
      </c>
      <c r="E29" s="25" cm="1">
        <f t="array" ref="E29">_xlfn.LET(
    _xlpm.g_a, INDEX(Κανονικοποίηση!D$2:D$8, MATCH($A29, {"A";"B";"Γ";"Δ";"E";"Z";"H"}, 0)),
    _xlpm.g_b, INDEX(Κανονικοποίηση!D$2:D$8,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1</v>
      </c>
      <c r="F29" s="25" cm="1">
        <f t="array" ref="F29">_xlfn.LET(
    _xlpm.g_a, INDEX(Κανονικοποίηση!E$2:E$8, MATCH($A29, {"A";"B";"Γ";"Δ";"E";"Z";"H"}, 0)),
    _xlpm.g_b, INDEX(Κανονικοποίηση!E$2:E$8,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0</v>
      </c>
      <c r="G29" s="25" cm="1">
        <f t="array" ref="G29">_xlfn.LET(
    _xlpm.g_a, INDEX(Κανονικοποίηση!F$2:F$8, MATCH($A29, {"A";"B";"Γ";"Δ";"E";"Z";"H"}, 0)),
    _xlpm.g_b, INDEX(Κανονικοποίηση!F$2:F$8,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1</v>
      </c>
      <c r="H29" s="25" cm="1">
        <f t="array" ref="H29">_xlfn.LET(
    _xlpm.g_a, INDEX(Κανονικοποίηση!G$2:G$8, MATCH($A29, {"A";"B";"Γ";"Δ";"E";"Z";"H"}, 0)),
    _xlpm.g_b, INDEX(Κανονικοποίηση!G$2:G$8,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0</v>
      </c>
      <c r="I29" s="25" cm="1">
        <f t="array" ref="I29">_xlfn.LET(
    _xlpm.g_a, INDEX(Κανονικοποίηση!H$2:H$8, MATCH($A29, {"A";"B";"Γ";"Δ";"E";"Z";"H"}, 0)),
    _xlpm.g_b, INDEX(Κανονικοποίηση!H$2:H$8,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1</v>
      </c>
      <c r="J29" s="25" cm="1">
        <f t="array" ref="J29">_xlfn.LET(
    _xlpm.g_a, INDEX(Κανονικοποίηση!I$2:I$8, MATCH($A29, {"A";"B";"Γ";"Δ";"E";"Z";"H"}, 0)),
    _xlpm.g_b, INDEX(Κανονικοποίηση!I$2:I$8,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0</v>
      </c>
      <c r="K29" s="25" cm="1">
        <f t="array" ref="K29">_xlfn.LET(
    _xlpm.g_a, INDEX(Κανονικοποίηση!J$2:J$8, MATCH($A29, {"A";"B";"Γ";"Δ";"E";"Z";"H"}, 0)),
    _xlpm.g_b, INDEX(Κανονικοποίηση!J$2:J$8,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0</v>
      </c>
      <c r="L29" s="25" cm="1">
        <f t="array" ref="L29">_xlfn.LET(
    _xlpm.g_a, INDEX(Κανονικοποίηση!K$2:K$8, MATCH($A29, {"A";"B";"Γ";"Δ";"E";"Z";"H"}, 0)),
    _xlpm.g_b, INDEX(Κανονικοποίηση!K$2:K$8, MATCH($B29, {"A";"B";"Γ";"Δ";"E";"Z";"H"}, 0)),
    _xlpm.type, "Benefit",
    _xlpm.diff, IF(OR(COLUMN()=3, COLUMN()=8, COLUMN()=9), _xlpm.g_b - _xlpm.g_a, _xlpm.g_a - _xlpm.g_b),
    _xlpm.q, ELECTRE!$R15,
    _xlpm.p, ELECTRE!$S15,
    IF(_xlpm.diff &gt;= -_xlpm.q, 1, IF(_xlpm.diff &lt;= -_xlpm.p, 0, (_xlpm.diff + _xlpm.p) / (_xlpm.p - _xlpm.q)))
)</f>
        <v>0</v>
      </c>
      <c r="M29" s="25" cm="1">
        <f t="array" ref="M29">SUMPRODUCT(C29:L29, TRANSPOSE(Βάρη!$E$2:$E$11))</f>
        <v>0.434</v>
      </c>
      <c r="N29" s="25" cm="1">
        <f t="array" ref="N29">SUMPRODUCT(C29:L29, TRANSPOSE(Βάρη!$C$2:$C$11))</f>
        <v>0.45454545454545459</v>
      </c>
      <c r="O29" s="25" cm="1">
        <f t="array" ref="O29">SUMPRODUCT(C29:L29, TRANSPOSE(Βάρη!$D$2:$D$11))</f>
        <v>0.38409429616583124</v>
      </c>
      <c r="P29" s="25" cm="1">
        <f t="array" ref="P29">SUMPRODUCT(C29:L29, TRANSPOSE(Βάρη!$F$2:$F$11))</f>
        <v>0.49090909090909085</v>
      </c>
      <c r="Q29" s="41" cm="1">
        <f t="array" ref="Q29">SUMPRODUCT(C29:L29, TRANSPOSE(Σύνοψη!$J$3:$J$12))</f>
        <v>1.8497822043708316</v>
      </c>
    </row>
    <row r="30" spans="1:17">
      <c r="A30" s="7" t="s">
        <v>13</v>
      </c>
      <c r="B30" s="7" t="s">
        <v>14</v>
      </c>
      <c r="C30" s="25" cm="1">
        <f t="array" ref="C30">_xlfn.LET(
    _xlpm.g_a, INDEX(Κανονικοποίηση!B$2:B$8, MATCH($A30, {"A";"B";"Γ";"Δ";"E";"Z";"H"}, 0)),
    _xlpm.g_b, INDEX(Κανονικοποίηση!B$2:B$8,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D30" s="25" cm="1">
        <f t="array" ref="D30">_xlfn.LET(
    _xlpm.g_a, INDEX(Κανονικοποίηση!C$2:C$8, MATCH($A30, {"A";"B";"Γ";"Δ";"E";"Z";"H"}, 0)),
    _xlpm.g_b, INDEX(Κανονικοποίηση!C$2:C$8,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E30" s="25" cm="1">
        <f t="array" ref="E30">_xlfn.LET(
    _xlpm.g_a, INDEX(Κανονικοποίηση!D$2:D$8, MATCH($A30, {"A";"B";"Γ";"Δ";"E";"Z";"H"}, 0)),
    _xlpm.g_b, INDEX(Κανονικοποίηση!D$2:D$8,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F30" s="25" cm="1">
        <f t="array" ref="F30">_xlfn.LET(
    _xlpm.g_a, INDEX(Κανονικοποίηση!E$2:E$8, MATCH($A30, {"A";"B";"Γ";"Δ";"E";"Z";"H"}, 0)),
    _xlpm.g_b, INDEX(Κανονικοποίηση!E$2:E$8,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G30" s="25" cm="1">
        <f t="array" ref="G30">_xlfn.LET(
    _xlpm.g_a, INDEX(Κανονικοποίηση!F$2:F$8, MATCH($A30, {"A";"B";"Γ";"Δ";"E";"Z";"H"}, 0)),
    _xlpm.g_b, INDEX(Κανονικοποίηση!F$2:F$8,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1</v>
      </c>
      <c r="H30" s="25" cm="1">
        <f t="array" ref="H30">_xlfn.LET(
    _xlpm.g_a, INDEX(Κανονικοποίηση!G$2:G$8, MATCH($A30, {"A";"B";"Γ";"Δ";"E";"Z";"H"}, 0)),
    _xlpm.g_b, INDEX(Κανονικοποίηση!G$2:G$8,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I30" s="25" cm="1">
        <f t="array" ref="I30">_xlfn.LET(
    _xlpm.g_a, INDEX(Κανονικοποίηση!H$2:H$8, MATCH($A30, {"A";"B";"Γ";"Δ";"E";"Z";"H"}, 0)),
    _xlpm.g_b, INDEX(Κανονικοποίηση!H$2:H$8,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J30" s="25" cm="1">
        <f t="array" ref="J30">_xlfn.LET(
    _xlpm.g_a, INDEX(Κανονικοποίηση!I$2:I$8, MATCH($A30, {"A";"B";"Γ";"Δ";"E";"Z";"H"}, 0)),
    _xlpm.g_b, INDEX(Κανονικοποίηση!I$2:I$8,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K30" s="25" cm="1">
        <f t="array" ref="K30">_xlfn.LET(
    _xlpm.g_a, INDEX(Κανονικοποίηση!J$2:J$8, MATCH($A30, {"A";"B";"Γ";"Δ";"E";"Z";"H"}, 0)),
    _xlpm.g_b, INDEX(Κανονικοποίηση!J$2:J$8,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1</v>
      </c>
      <c r="L30" s="25" cm="1">
        <f t="array" ref="L30">_xlfn.LET(
    _xlpm.g_a, INDEX(Κανονικοποίηση!K$2:K$8, MATCH($A30, {"A";"B";"Γ";"Δ";"E";"Z";"H"}, 0)),
    _xlpm.g_b, INDEX(Κανονικοποίηση!K$2:K$8, MATCH($B30, {"A";"B";"Γ";"Δ";"E";"Z";"H"}, 0)),
    _xlpm.type, "Benefit",
    _xlpm.diff, IF(OR(COLUMN()=3, COLUMN()=8, COLUMN()=9), _xlpm.g_b - _xlpm.g_a, _xlpm.g_a - _xlpm.g_b),
    _xlpm.q, ELECTRE!$R16,
    _xlpm.p, ELECTRE!$S16,
    IF(_xlpm.diff &gt;= -_xlpm.q, 1, IF(_xlpm.diff &lt;= -_xlpm.p, 0, (_xlpm.diff + _xlpm.p) / (_xlpm.p - _xlpm.q)))
)</f>
        <v>0</v>
      </c>
      <c r="M30" s="25" cm="1">
        <f t="array" ref="M30">SUMPRODUCT(C30:L30, TRANSPOSE(Βάρη!$E$2:$E$11))</f>
        <v>7.4500000000000011E-2</v>
      </c>
      <c r="N30" s="25" cm="1">
        <f t="array" ref="N30">SUMPRODUCT(C30:L30, TRANSPOSE(Βάρη!$C$2:$C$11))</f>
        <v>0.12727272727272726</v>
      </c>
      <c r="O30" s="25" cm="1">
        <f t="array" ref="O30">SUMPRODUCT(C30:L30, TRANSPOSE(Βάρη!$D$2:$D$11))</f>
        <v>9.4838097818723752E-2</v>
      </c>
      <c r="P30" s="25" cm="1">
        <f t="array" ref="P30">SUMPRODUCT(C30:L30, TRANSPOSE(Βάρη!$F$2:$F$11))</f>
        <v>0.14545454545454545</v>
      </c>
      <c r="Q30" s="41" cm="1">
        <f t="array" ref="Q30">SUMPRODUCT(C30:L30, TRANSPOSE(Σύνοψη!$J$3:$J$12))</f>
        <v>0.36883840646011801</v>
      </c>
    </row>
    <row r="31" spans="1:17">
      <c r="A31" s="7" t="s">
        <v>13</v>
      </c>
      <c r="B31" s="7" t="s">
        <v>15</v>
      </c>
      <c r="C31" s="25" cm="1">
        <f t="array" ref="C31">_xlfn.LET(
    _xlpm.g_a, INDEX(Κανονικοποίηση!B$2:B$8, MATCH($A31, {"A";"B";"Γ";"Δ";"E";"Z";"H"}, 0)),
    _xlpm.g_b, INDEX(Κανονικοποίηση!B$2:B$8,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D31" s="25" cm="1">
        <f t="array" ref="D31">_xlfn.LET(
    _xlpm.g_a, INDEX(Κανονικοποίηση!C$2:C$8, MATCH($A31, {"A";"B";"Γ";"Δ";"E";"Z";"H"}, 0)),
    _xlpm.g_b, INDEX(Κανονικοποίηση!C$2:C$8,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E31" s="25" cm="1">
        <f t="array" ref="E31">_xlfn.LET(
    _xlpm.g_a, INDEX(Κανονικοποίηση!D$2:D$8, MATCH($A31, {"A";"B";"Γ";"Δ";"E";"Z";"H"}, 0)),
    _xlpm.g_b, INDEX(Κανονικοποίηση!D$2:D$8,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F31" s="25" cm="1">
        <f t="array" ref="F31">_xlfn.LET(
    _xlpm.g_a, INDEX(Κανονικοποίηση!E$2:E$8, MATCH($A31, {"A";"B";"Γ";"Δ";"E";"Z";"H"}, 0)),
    _xlpm.g_b, INDEX(Κανονικοποίηση!E$2:E$8,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G31" s="25" cm="1">
        <f t="array" ref="G31">_xlfn.LET(
    _xlpm.g_a, INDEX(Κανονικοποίηση!F$2:F$8, MATCH($A31, {"A";"B";"Γ";"Δ";"E";"Z";"H"}, 0)),
    _xlpm.g_b, INDEX(Κανονικοποίηση!F$2:F$8,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H31" s="25" cm="1">
        <f t="array" ref="H31">_xlfn.LET(
    _xlpm.g_a, INDEX(Κανονικοποίηση!G$2:G$8, MATCH($A31, {"A";"B";"Γ";"Δ";"E";"Z";"H"}, 0)),
    _xlpm.g_b, INDEX(Κανονικοποίηση!G$2:G$8,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I31" s="25" cm="1">
        <f t="array" ref="I31">_xlfn.LET(
    _xlpm.g_a, INDEX(Κανονικοποίηση!H$2:H$8, MATCH($A31, {"A";"B";"Γ";"Δ";"E";"Z";"H"}, 0)),
    _xlpm.g_b, INDEX(Κανονικοποίηση!H$2:H$8,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J31" s="25" cm="1">
        <f t="array" ref="J31">_xlfn.LET(
    _xlpm.g_a, INDEX(Κανονικοποίηση!I$2:I$8, MATCH($A31, {"A";"B";"Γ";"Δ";"E";"Z";"H"}, 0)),
    _xlpm.g_b, INDEX(Κανονικοποίηση!I$2:I$8,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K31" s="25" cm="1">
        <f t="array" ref="K31">_xlfn.LET(
    _xlpm.g_a, INDEX(Κανονικοποίηση!J$2:J$8, MATCH($A31, {"A";"B";"Γ";"Δ";"E";"Z";"H"}, 0)),
    _xlpm.g_b, INDEX(Κανονικοποίηση!J$2:J$8,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L31" s="25" cm="1">
        <f t="array" ref="L31">_xlfn.LET(
    _xlpm.g_a, INDEX(Κανονικοποίηση!K$2:K$8, MATCH($A31, {"A";"B";"Γ";"Δ";"E";"Z";"H"}, 0)),
    _xlpm.g_b, INDEX(Κανονικοποίηση!K$2:K$8, MATCH($B31, {"A";"B";"Γ";"Δ";"E";"Z";"H"}, 0)),
    _xlpm.type, "Benefit",
    _xlpm.diff, IF(OR(COLUMN()=3, COLUMN()=8, COLUMN()=9), _xlpm.g_b - _xlpm.g_a, _xlpm.g_a - _xlpm.g_b),
    _xlpm.q, ELECTRE!$R17,
    _xlpm.p, ELECTRE!$S17,
    IF(_xlpm.diff &gt;= -_xlpm.q, 1, IF(_xlpm.diff &lt;= -_xlpm.p, 0, (_xlpm.diff + _xlpm.p) / (_xlpm.p - _xlpm.q)))
)</f>
        <v>1</v>
      </c>
      <c r="M31" s="25" cm="1">
        <f t="array" ref="M31">SUMPRODUCT(C31:L31, TRANSPOSE(Βάρη!$E$2:$E$11))</f>
        <v>1</v>
      </c>
      <c r="N31" s="25" cm="1">
        <f t="array" ref="N31">SUMPRODUCT(C31:L31, TRANSPOSE(Βάρη!$C$2:$C$11))</f>
        <v>1</v>
      </c>
      <c r="O31" s="25" cm="1">
        <f t="array" ref="O31">SUMPRODUCT(C31:L31, TRANSPOSE(Βάρη!$D$2:$D$11))</f>
        <v>1.0000000000000002</v>
      </c>
      <c r="P31" s="25" cm="1">
        <f t="array" ref="P31">SUMPRODUCT(C31:L31, TRANSPOSE(Βάρη!$F$2:$F$11))</f>
        <v>1</v>
      </c>
      <c r="Q31" s="41" cm="1">
        <f t="array" ref="Q31">SUMPRODUCT(C31:L31, TRANSPOSE(Σύνοψη!$J$3:$J$12))</f>
        <v>3.6602464764590579</v>
      </c>
    </row>
    <row r="32" spans="1:17">
      <c r="A32" s="7" t="s">
        <v>13</v>
      </c>
      <c r="B32" s="7" t="s">
        <v>16</v>
      </c>
      <c r="C32" s="25" cm="1">
        <f t="array" ref="C32">_xlfn.LET(
    _xlpm.g_a, INDEX(Κανονικοποίηση!B$2:B$8, MATCH($A32, {"A";"B";"Γ";"Δ";"E";"Z";"H"}, 0)),
    _xlpm.g_b, INDEX(Κανονικοποίηση!B$2:B$8,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0</v>
      </c>
      <c r="D32" s="25" cm="1">
        <f t="array" ref="D32">_xlfn.LET(
    _xlpm.g_a, INDEX(Κανονικοποίηση!C$2:C$8, MATCH($A32, {"A";"B";"Γ";"Δ";"E";"Z";"H"}, 0)),
    _xlpm.g_b, INDEX(Κανονικοποίηση!C$2:C$8,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0</v>
      </c>
      <c r="E32" s="25" cm="1">
        <f t="array" ref="E32">_xlfn.LET(
    _xlpm.g_a, INDEX(Κανονικοποίηση!D$2:D$8, MATCH($A32, {"A";"B";"Γ";"Δ";"E";"Z";"H"}, 0)),
    _xlpm.g_b, INDEX(Κανονικοποίηση!D$2:D$8,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1</v>
      </c>
      <c r="F32" s="25" cm="1">
        <f t="array" ref="F32">_xlfn.LET(
    _xlpm.g_a, INDEX(Κανονικοποίηση!E$2:E$8, MATCH($A32, {"A";"B";"Γ";"Δ";"E";"Z";"H"}, 0)),
    _xlpm.g_b, INDEX(Κανονικοποίηση!E$2:E$8,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0</v>
      </c>
      <c r="G32" s="25" cm="1">
        <f t="array" ref="G32">_xlfn.LET(
    _xlpm.g_a, INDEX(Κανονικοποίηση!F$2:F$8, MATCH($A32, {"A";"B";"Γ";"Δ";"E";"Z";"H"}, 0)),
    _xlpm.g_b, INDEX(Κανονικοποίηση!F$2:F$8,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1</v>
      </c>
      <c r="H32" s="25" cm="1">
        <f t="array" ref="H32">_xlfn.LET(
    _xlpm.g_a, INDEX(Κανονικοποίηση!G$2:G$8, MATCH($A32, {"A";"B";"Γ";"Δ";"E";"Z";"H"}, 0)),
    _xlpm.g_b, INDEX(Κανονικοποίηση!G$2:G$8,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0</v>
      </c>
      <c r="I32" s="25" cm="1">
        <f t="array" ref="I32">_xlfn.LET(
    _xlpm.g_a, INDEX(Κανονικοποίηση!H$2:H$8, MATCH($A32, {"A";"B";"Γ";"Δ";"E";"Z";"H"}, 0)),
    _xlpm.g_b, INDEX(Κανονικοποίηση!H$2:H$8,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0</v>
      </c>
      <c r="J32" s="25" cm="1">
        <f t="array" ref="J32">_xlfn.LET(
    _xlpm.g_a, INDEX(Κανονικοποίηση!I$2:I$8, MATCH($A32, {"A";"B";"Γ";"Δ";"E";"Z";"H"}, 0)),
    _xlpm.g_b, INDEX(Κανονικοποίηση!I$2:I$8,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0</v>
      </c>
      <c r="K32" s="25" cm="1">
        <f t="array" ref="K32">_xlfn.LET(
    _xlpm.g_a, INDEX(Κανονικοποίηση!J$2:J$8, MATCH($A32, {"A";"B";"Γ";"Δ";"E";"Z";"H"}, 0)),
    _xlpm.g_b, INDEX(Κανονικοποίηση!J$2:J$8,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0</v>
      </c>
      <c r="L32" s="25" cm="1">
        <f t="array" ref="L32">_xlfn.LET(
    _xlpm.g_a, INDEX(Κανονικοποίηση!K$2:K$8, MATCH($A32, {"A";"B";"Γ";"Δ";"E";"Z";"H"}, 0)),
    _xlpm.g_b, INDEX(Κανονικοποίηση!K$2:K$8, MATCH($B32, {"A";"B";"Γ";"Δ";"E";"Z";"H"}, 0)),
    _xlpm.type, "Benefit",
    _xlpm.diff, IF(OR(COLUMN()=3, COLUMN()=8, COLUMN()=9), _xlpm.g_b - _xlpm.g_a, _xlpm.g_a - _xlpm.g_b),
    _xlpm.q, ELECTRE!$R18,
    _xlpm.p, ELECTRE!$S18,
    IF(_xlpm.diff &gt;= -_xlpm.q, 1, IF(_xlpm.diff &lt;= -_xlpm.p, 0, (_xlpm.diff + _xlpm.p) / (_xlpm.p - _xlpm.q)))
)</f>
        <v>1</v>
      </c>
      <c r="M32" s="25" cm="1">
        <f t="array" ref="M32">SUMPRODUCT(C32:L32, TRANSPOSE(Βάρη!$E$2:$E$11))</f>
        <v>0.22860000000000003</v>
      </c>
      <c r="N32" s="25" cm="1">
        <f t="array" ref="N32">SUMPRODUCT(C32:L32, TRANSPOSE(Βάρη!$C$2:$C$11))</f>
        <v>0.25454545454545452</v>
      </c>
      <c r="O32" s="25" cm="1">
        <f t="array" ref="O32">SUMPRODUCT(C32:L32, TRANSPOSE(Βάρη!$D$2:$D$11))</f>
        <v>0.20485029128844331</v>
      </c>
      <c r="P32" s="25" cm="1">
        <f t="array" ref="P32">SUMPRODUCT(C32:L32, TRANSPOSE(Βάρη!$F$2:$F$11))</f>
        <v>0.27272727272727271</v>
      </c>
      <c r="Q32" s="41" cm="1">
        <f t="array" ref="Q32">SUMPRODUCT(C32:L32, TRANSPOSE(Σύνοψη!$J$3:$J$12))</f>
        <v>0.96986952547266192</v>
      </c>
    </row>
    <row r="33" spans="1:17">
      <c r="A33" s="7" t="s">
        <v>13</v>
      </c>
      <c r="B33" s="7" t="s">
        <v>17</v>
      </c>
      <c r="C33" s="25" cm="1">
        <f t="array" ref="C33">_xlfn.LET(
    _xlpm.g_a, INDEX(Κανονικοποίηση!B$2:B$8, MATCH($A33, {"A";"B";"Γ";"Δ";"E";"Z";"H"}, 0)),
    _xlpm.g_b, INDEX(Κανονικοποίηση!B$2:B$8,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D33" s="25" cm="1">
        <f t="array" ref="D33">_xlfn.LET(
    _xlpm.g_a, INDEX(Κανονικοποίηση!C$2:C$8, MATCH($A33, {"A";"B";"Γ";"Δ";"E";"Z";"H"}, 0)),
    _xlpm.g_b, INDEX(Κανονικοποίηση!C$2:C$8,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E33" s="25" cm="1">
        <f t="array" ref="E33">_xlfn.LET(
    _xlpm.g_a, INDEX(Κανονικοποίηση!D$2:D$8, MATCH($A33, {"A";"B";"Γ";"Δ";"E";"Z";"H"}, 0)),
    _xlpm.g_b, INDEX(Κανονικοποίηση!D$2:D$8,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F33" s="25" cm="1">
        <f t="array" ref="F33">_xlfn.LET(
    _xlpm.g_a, INDEX(Κανονικοποίηση!E$2:E$8, MATCH($A33, {"A";"B";"Γ";"Δ";"E";"Z";"H"}, 0)),
    _xlpm.g_b, INDEX(Κανονικοποίηση!E$2:E$8,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G33" s="25" cm="1">
        <f t="array" ref="G33">_xlfn.LET(
    _xlpm.g_a, INDEX(Κανονικοποίηση!F$2:F$8, MATCH($A33, {"A";"B";"Γ";"Δ";"E";"Z";"H"}, 0)),
    _xlpm.g_b, INDEX(Κανονικοποίηση!F$2:F$8,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H33" s="25" cm="1">
        <f t="array" ref="H33">_xlfn.LET(
    _xlpm.g_a, INDEX(Κανονικοποίηση!G$2:G$8, MATCH($A33, {"A";"B";"Γ";"Δ";"E";"Z";"H"}, 0)),
    _xlpm.g_b, INDEX(Κανονικοποίηση!G$2:G$8,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I33" s="25" cm="1">
        <f t="array" ref="I33">_xlfn.LET(
    _xlpm.g_a, INDEX(Κανονικοποίηση!H$2:H$8, MATCH($A33, {"A";"B";"Γ";"Δ";"E";"Z";"H"}, 0)),
    _xlpm.g_b, INDEX(Κανονικοποίηση!H$2:H$8,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J33" s="25" cm="1">
        <f t="array" ref="J33">_xlfn.LET(
    _xlpm.g_a, INDEX(Κανονικοποίηση!I$2:I$8, MATCH($A33, {"A";"B";"Γ";"Δ";"E";"Z";"H"}, 0)),
    _xlpm.g_b, INDEX(Κανονικοποίηση!I$2:I$8,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K33" s="25" cm="1">
        <f t="array" ref="K33">_xlfn.LET(
    _xlpm.g_a, INDEX(Κανονικοποίηση!J$2:J$8, MATCH($A33, {"A";"B";"Γ";"Δ";"E";"Z";"H"}, 0)),
    _xlpm.g_b, INDEX(Κανονικοποίηση!J$2:J$8,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L33" s="25" cm="1">
        <f t="array" ref="L33">_xlfn.LET(
    _xlpm.g_a, INDEX(Κανονικοποίηση!K$2:K$8, MATCH($A33, {"A";"B";"Γ";"Δ";"E";"Z";"H"}, 0)),
    _xlpm.g_b, INDEX(Κανονικοποίηση!K$2:K$8, MATCH($B33, {"A";"B";"Γ";"Δ";"E";"Z";"H"}, 0)),
    _xlpm.type, "Benefit",
    _xlpm.diff, IF(OR(COLUMN()=3, COLUMN()=8, COLUMN()=9), _xlpm.g_b - _xlpm.g_a, _xlpm.g_a - _xlpm.g_b),
    _xlpm.q, ELECTRE!$R19,
    _xlpm.p, ELECTRE!$S19,
    IF(_xlpm.diff &gt;= -_xlpm.q, 1, IF(_xlpm.diff &lt;= -_xlpm.p, 0, (_xlpm.diff + _xlpm.p) / (_xlpm.p - _xlpm.q)))
)</f>
        <v>1</v>
      </c>
      <c r="M33" s="25" cm="1">
        <f t="array" ref="M33">SUMPRODUCT(C33:L33, TRANSPOSE(Βάρη!$E$2:$E$11))</f>
        <v>1</v>
      </c>
      <c r="N33" s="25" cm="1">
        <f t="array" ref="N33">SUMPRODUCT(C33:L33, TRANSPOSE(Βάρη!$C$2:$C$11))</f>
        <v>1</v>
      </c>
      <c r="O33" s="25" cm="1">
        <f t="array" ref="O33">SUMPRODUCT(C33:L33, TRANSPOSE(Βάρη!$D$2:$D$11))</f>
        <v>1.0000000000000002</v>
      </c>
      <c r="P33" s="25" cm="1">
        <f t="array" ref="P33">SUMPRODUCT(C33:L33, TRANSPOSE(Βάρη!$F$2:$F$11))</f>
        <v>1</v>
      </c>
      <c r="Q33" s="41" cm="1">
        <f t="array" ref="Q33">SUMPRODUCT(C33:L33, TRANSPOSE(Σύνοψη!$J$3:$J$12))</f>
        <v>3.6602464764590579</v>
      </c>
    </row>
    <row r="34" spans="1:17">
      <c r="A34" s="7" t="s">
        <v>14</v>
      </c>
      <c r="B34" s="7" t="s">
        <v>11</v>
      </c>
      <c r="C34" s="25" cm="1">
        <f t="array" ref="C34">_xlfn.LET(
    _xlpm.g_a, INDEX(Κανονικοποίηση!B$2:B$8, MATCH($A34, {"A";"B";"Γ";"Δ";"E";"Z";"H"}, 0)),
    _xlpm.g_b, INDEX(Κανονικοποίηση!B$2:B$8,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D34" s="25" cm="1">
        <f t="array" ref="D34">_xlfn.LET(
    _xlpm.g_a, INDEX(Κανονικοποίηση!C$2:C$8, MATCH($A34, {"A";"B";"Γ";"Δ";"E";"Z";"H"}, 0)),
    _xlpm.g_b, INDEX(Κανονικοποίηση!C$2:C$8,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E34" s="25" cm="1">
        <f t="array" ref="E34">_xlfn.LET(
    _xlpm.g_a, INDEX(Κανονικοποίηση!D$2:D$8, MATCH($A34, {"A";"B";"Γ";"Δ";"E";"Z";"H"}, 0)),
    _xlpm.g_b, INDEX(Κανονικοποίηση!D$2:D$8,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F34" s="25" cm="1">
        <f t="array" ref="F34">_xlfn.LET(
    _xlpm.g_a, INDEX(Κανονικοποίηση!E$2:E$8, MATCH($A34, {"A";"B";"Γ";"Δ";"E";"Z";"H"}, 0)),
    _xlpm.g_b, INDEX(Κανονικοποίηση!E$2:E$8,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G34" s="25" cm="1">
        <f t="array" ref="G34">_xlfn.LET(
    _xlpm.g_a, INDEX(Κανονικοποίηση!F$2:F$8, MATCH($A34, {"A";"B";"Γ";"Δ";"E";"Z";"H"}, 0)),
    _xlpm.g_b, INDEX(Κανονικοποίηση!F$2:F$8,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H34" s="25" cm="1">
        <f t="array" ref="H34">_xlfn.LET(
    _xlpm.g_a, INDEX(Κανονικοποίηση!G$2:G$8, MATCH($A34, {"A";"B";"Γ";"Δ";"E";"Z";"H"}, 0)),
    _xlpm.g_b, INDEX(Κανονικοποίηση!G$2:G$8,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I34" s="25" cm="1">
        <f t="array" ref="I34">_xlfn.LET(
    _xlpm.g_a, INDEX(Κανονικοποίηση!H$2:H$8, MATCH($A34, {"A";"B";"Γ";"Δ";"E";"Z";"H"}, 0)),
    _xlpm.g_b, INDEX(Κανονικοποίηση!H$2:H$8,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0</v>
      </c>
      <c r="J34" s="25" cm="1">
        <f t="array" ref="J34">_xlfn.LET(
    _xlpm.g_a, INDEX(Κανονικοποίηση!I$2:I$8, MATCH($A34, {"A";"B";"Γ";"Δ";"E";"Z";"H"}, 0)),
    _xlpm.g_b, INDEX(Κανονικοποίηση!I$2:I$8,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K34" s="25" cm="1">
        <f t="array" ref="K34">_xlfn.LET(
    _xlpm.g_a, INDEX(Κανονικοποίηση!J$2:J$8, MATCH($A34, {"A";"B";"Γ";"Δ";"E";"Z";"H"}, 0)),
    _xlpm.g_b, INDEX(Κανονικοποίηση!J$2:J$8,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0</v>
      </c>
      <c r="L34" s="25" cm="1">
        <f t="array" ref="L34">_xlfn.LET(
    _xlpm.g_a, INDEX(Κανονικοποίηση!K$2:K$8, MATCH($A34, {"A";"B";"Γ";"Δ";"E";"Z";"H"}, 0)),
    _xlpm.g_b, INDEX(Κανονικοποίηση!K$2:K$8, MATCH($B34, {"A";"B";"Γ";"Δ";"E";"Z";"H"}, 0)),
    _xlpm.type, "Benefit",
    _xlpm.diff, IF(OR(COLUMN()=3, COLUMN()=8, COLUMN()=9), _xlpm.g_b - _xlpm.g_a, _xlpm.g_a - _xlpm.g_b),
    _xlpm.q, ELECTRE!$R20,
    _xlpm.p, ELECTRE!$S20,
    IF(_xlpm.diff &gt;= -_xlpm.q, 1, IF(_xlpm.diff &lt;= -_xlpm.p, 0, (_xlpm.diff + _xlpm.p) / (_xlpm.p - _xlpm.q)))
)</f>
        <v>1</v>
      </c>
      <c r="M34" s="25" cm="1">
        <f t="array" ref="M34">SUMPRODUCT(C34:L34, TRANSPOSE(Βάρη!$E$2:$E$11))</f>
        <v>0.95650000000000013</v>
      </c>
      <c r="N34" s="25" cm="1">
        <f t="array" ref="N34">SUMPRODUCT(C34:L34, TRANSPOSE(Βάρη!$C$2:$C$11))</f>
        <v>0.90909090909090906</v>
      </c>
      <c r="O34" s="25" cm="1">
        <f t="array" ref="O34">SUMPRODUCT(C34:L34, TRANSPOSE(Βάρη!$D$2:$D$11))</f>
        <v>0.91938761685408488</v>
      </c>
      <c r="P34" s="25" cm="1">
        <f t="array" ref="P34">SUMPRODUCT(C34:L34, TRANSPOSE(Βάρη!$F$2:$F$11))</f>
        <v>0.89090909090909098</v>
      </c>
      <c r="Q34" s="41" cm="1">
        <f t="array" ref="Q34">SUMPRODUCT(C34:L34, TRANSPOSE(Σύνοψη!$J$3:$J$12))</f>
        <v>3.2316543064039043</v>
      </c>
    </row>
    <row r="35" spans="1:17">
      <c r="A35" s="7" t="s">
        <v>14</v>
      </c>
      <c r="B35" s="7" t="s">
        <v>12</v>
      </c>
      <c r="C35" s="25" cm="1">
        <f t="array" ref="C35">_xlfn.LET(
    _xlpm.g_a, INDEX(Κανονικοποίηση!B$2:B$8, MATCH($A35, {"A";"B";"Γ";"Δ";"E";"Z";"H"}, 0)),
    _xlpm.g_b, INDEX(Κανονικοποίηση!B$2:B$8,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D35" s="25" cm="1">
        <f t="array" ref="D35">_xlfn.LET(
    _xlpm.g_a, INDEX(Κανονικοποίηση!C$2:C$8, MATCH($A35, {"A";"B";"Γ";"Δ";"E";"Z";"H"}, 0)),
    _xlpm.g_b, INDEX(Κανονικοποίηση!C$2:C$8,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E35" s="25" cm="1">
        <f t="array" ref="E35">_xlfn.LET(
    _xlpm.g_a, INDEX(Κανονικοποίηση!D$2:D$8, MATCH($A35, {"A";"B";"Γ";"Δ";"E";"Z";"H"}, 0)),
    _xlpm.g_b, INDEX(Κανονικοποίηση!D$2:D$8,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F35" s="25" cm="1">
        <f t="array" ref="F35">_xlfn.LET(
    _xlpm.g_a, INDEX(Κανονικοποίηση!E$2:E$8, MATCH($A35, {"A";"B";"Γ";"Δ";"E";"Z";"H"}, 0)),
    _xlpm.g_b, INDEX(Κανονικοποίηση!E$2:E$8,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G35" s="25" cm="1">
        <f t="array" ref="G35">_xlfn.LET(
    _xlpm.g_a, INDEX(Κανονικοποίηση!F$2:F$8, MATCH($A35, {"A";"B";"Γ";"Δ";"E";"Z";"H"}, 0)),
    _xlpm.g_b, INDEX(Κανονικοποίηση!F$2:F$8,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H35" s="25" cm="1">
        <f t="array" ref="H35">_xlfn.LET(
    _xlpm.g_a, INDEX(Κανονικοποίηση!G$2:G$8, MATCH($A35, {"A";"B";"Γ";"Δ";"E";"Z";"H"}, 0)),
    _xlpm.g_b, INDEX(Κανονικοποίηση!G$2:G$8,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I35" s="25" cm="1">
        <f t="array" ref="I35">_xlfn.LET(
    _xlpm.g_a, INDEX(Κανονικοποίηση!H$2:H$8, MATCH($A35, {"A";"B";"Γ";"Δ";"E";"Z";"H"}, 0)),
    _xlpm.g_b, INDEX(Κανονικοποίηση!H$2:H$8,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J35" s="25" cm="1">
        <f t="array" ref="J35">_xlfn.LET(
    _xlpm.g_a, INDEX(Κανονικοποίηση!I$2:I$8, MATCH($A35, {"A";"B";"Γ";"Δ";"E";"Z";"H"}, 0)),
    _xlpm.g_b, INDEX(Κανονικοποίηση!I$2:I$8,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K35" s="25" cm="1">
        <f t="array" ref="K35">_xlfn.LET(
    _xlpm.g_a, INDEX(Κανονικοποίηση!J$2:J$8, MATCH($A35, {"A";"B";"Γ";"Δ";"E";"Z";"H"}, 0)),
    _xlpm.g_b, INDEX(Κανονικοποίηση!J$2:J$8,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0</v>
      </c>
      <c r="L35" s="25" cm="1">
        <f t="array" ref="L35">_xlfn.LET(
    _xlpm.g_a, INDEX(Κανονικοποίηση!K$2:K$8, MATCH($A35, {"A";"B";"Γ";"Δ";"E";"Z";"H"}, 0)),
    _xlpm.g_b, INDEX(Κανονικοποίηση!K$2:K$8, MATCH($B35, {"A";"B";"Γ";"Δ";"E";"Z";"H"}, 0)),
    _xlpm.type, "Benefit",
    _xlpm.diff, IF(OR(COLUMN()=3, COLUMN()=8, COLUMN()=9), _xlpm.g_b - _xlpm.g_a, _xlpm.g_a - _xlpm.g_b),
    _xlpm.q, ELECTRE!$R21,
    _xlpm.p, ELECTRE!$S21,
    IF(_xlpm.diff &gt;= -_xlpm.q, 1, IF(_xlpm.diff &lt;= -_xlpm.p, 0, (_xlpm.diff + _xlpm.p) / (_xlpm.p - _xlpm.q)))
)</f>
        <v>1</v>
      </c>
      <c r="M35" s="25" cm="1">
        <f t="array" ref="M35">SUMPRODUCT(C35:L35, TRANSPOSE(Βάρη!$E$2:$E$11))</f>
        <v>0.99010000000000009</v>
      </c>
      <c r="N35" s="25" cm="1">
        <f t="array" ref="N35">SUMPRODUCT(C35:L35, TRANSPOSE(Βάρη!$C$2:$C$11))</f>
        <v>0.96363636363636362</v>
      </c>
      <c r="O35" s="25" cm="1">
        <f t="array" ref="O35">SUMPRODUCT(C35:L35, TRANSPOSE(Βάρη!$D$2:$D$11))</f>
        <v>0.96206476087251058</v>
      </c>
      <c r="P35" s="25" cm="1">
        <f t="array" ref="P35">SUMPRODUCT(C35:L35, TRANSPOSE(Βάρη!$F$2:$F$11))</f>
        <v>0.96363636363636374</v>
      </c>
      <c r="Q35" s="41" cm="1">
        <f t="array" ref="Q35">SUMPRODUCT(C35:L35, TRANSPOSE(Σύνοψη!$J$3:$J$12))</f>
        <v>3.6602464764590579</v>
      </c>
    </row>
    <row r="36" spans="1:17">
      <c r="A36" s="7" t="s">
        <v>14</v>
      </c>
      <c r="B36" s="7" t="s">
        <v>13</v>
      </c>
      <c r="C36" s="25" cm="1">
        <f t="array" ref="C36">_xlfn.LET(
    _xlpm.g_a, INDEX(Κανονικοποίηση!B$2:B$8, MATCH($A36, {"A";"B";"Γ";"Δ";"E";"Z";"H"}, 0)),
    _xlpm.g_b, INDEX(Κανονικοποίηση!B$2:B$8,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D36" s="25" cm="1">
        <f t="array" ref="D36">_xlfn.LET(
    _xlpm.g_a, INDEX(Κανονικοποίηση!C$2:C$8, MATCH($A36, {"A";"B";"Γ";"Δ";"E";"Z";"H"}, 0)),
    _xlpm.g_b, INDEX(Κανονικοποίηση!C$2:C$8,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E36" s="25" cm="1">
        <f t="array" ref="E36">_xlfn.LET(
    _xlpm.g_a, INDEX(Κανονικοποίηση!D$2:D$8, MATCH($A36, {"A";"B";"Γ";"Δ";"E";"Z";"H"}, 0)),
    _xlpm.g_b, INDEX(Κανονικοποίηση!D$2:D$8,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F36" s="25" cm="1">
        <f t="array" ref="F36">_xlfn.LET(
    _xlpm.g_a, INDEX(Κανονικοποίηση!E$2:E$8, MATCH($A36, {"A";"B";"Γ";"Δ";"E";"Z";"H"}, 0)),
    _xlpm.g_b, INDEX(Κανονικοποίηση!E$2:E$8,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G36" s="25" cm="1">
        <f t="array" ref="G36">_xlfn.LET(
    _xlpm.g_a, INDEX(Κανονικοποίηση!F$2:F$8, MATCH($A36, {"A";"B";"Γ";"Δ";"E";"Z";"H"}, 0)),
    _xlpm.g_b, INDEX(Κανονικοποίηση!F$2:F$8,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H36" s="25" cm="1">
        <f t="array" ref="H36">_xlfn.LET(
    _xlpm.g_a, INDEX(Κανονικοποίηση!G$2:G$8, MATCH($A36, {"A";"B";"Γ";"Δ";"E";"Z";"H"}, 0)),
    _xlpm.g_b, INDEX(Κανονικοποίηση!G$2:G$8,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I36" s="25" cm="1">
        <f t="array" ref="I36">_xlfn.LET(
    _xlpm.g_a, INDEX(Κανονικοποίηση!H$2:H$8, MATCH($A36, {"A";"B";"Γ";"Δ";"E";"Z";"H"}, 0)),
    _xlpm.g_b, INDEX(Κανονικοποίηση!H$2:H$8,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J36" s="25" cm="1">
        <f t="array" ref="J36">_xlfn.LET(
    _xlpm.g_a, INDEX(Κανονικοποίηση!I$2:I$8, MATCH($A36, {"A";"B";"Γ";"Δ";"E";"Z";"H"}, 0)),
    _xlpm.g_b, INDEX(Κανονικοποίηση!I$2:I$8,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K36" s="25" cm="1">
        <f t="array" ref="K36">_xlfn.LET(
    _xlpm.g_a, INDEX(Κανονικοποίηση!J$2:J$8, MATCH($A36, {"A";"B";"Γ";"Δ";"E";"Z";"H"}, 0)),
    _xlpm.g_b, INDEX(Κανονικοποίηση!J$2:J$8,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0</v>
      </c>
      <c r="L36" s="25" cm="1">
        <f t="array" ref="L36">_xlfn.LET(
    _xlpm.g_a, INDEX(Κανονικοποίηση!K$2:K$8, MATCH($A36, {"A";"B";"Γ";"Δ";"E";"Z";"H"}, 0)),
    _xlpm.g_b, INDEX(Κανονικοποίηση!K$2:K$8, MATCH($B36, {"A";"B";"Γ";"Δ";"E";"Z";"H"}, 0)),
    _xlpm.type, "Benefit",
    _xlpm.diff, IF(OR(COLUMN()=3, COLUMN()=8, COLUMN()=9), _xlpm.g_b - _xlpm.g_a, _xlpm.g_a - _xlpm.g_b),
    _xlpm.q, ELECTRE!$R22,
    _xlpm.p, ELECTRE!$S22,
    IF(_xlpm.diff &gt;= -_xlpm.q, 1, IF(_xlpm.diff &lt;= -_xlpm.p, 0, (_xlpm.diff + _xlpm.p) / (_xlpm.p - _xlpm.q)))
)</f>
        <v>1</v>
      </c>
      <c r="M36" s="25" cm="1">
        <f t="array" ref="M36">SUMPRODUCT(C36:L36, TRANSPOSE(Βάρη!$E$2:$E$11))</f>
        <v>0.99010000000000009</v>
      </c>
      <c r="N36" s="25" cm="1">
        <f t="array" ref="N36">SUMPRODUCT(C36:L36, TRANSPOSE(Βάρη!$C$2:$C$11))</f>
        <v>0.96363636363636362</v>
      </c>
      <c r="O36" s="25" cm="1">
        <f t="array" ref="O36">SUMPRODUCT(C36:L36, TRANSPOSE(Βάρη!$D$2:$D$11))</f>
        <v>0.96206476087251058</v>
      </c>
      <c r="P36" s="25" cm="1">
        <f t="array" ref="P36">SUMPRODUCT(C36:L36, TRANSPOSE(Βάρη!$F$2:$F$11))</f>
        <v>0.96363636363636374</v>
      </c>
      <c r="Q36" s="41" cm="1">
        <f t="array" ref="Q36">SUMPRODUCT(C36:L36, TRANSPOSE(Σύνοψη!$J$3:$J$12))</f>
        <v>3.6602464764590579</v>
      </c>
    </row>
    <row r="37" spans="1:17">
      <c r="A37" s="7" t="s">
        <v>14</v>
      </c>
      <c r="B37" s="7" t="s">
        <v>15</v>
      </c>
      <c r="C37" s="25" cm="1">
        <f t="array" ref="C37">_xlfn.LET(
    _xlpm.g_a, INDEX(Κανονικοποίηση!B$2:B$8, MATCH($A37, {"A";"B";"Γ";"Δ";"E";"Z";"H"}, 0)),
    _xlpm.g_b, INDEX(Κανονικοποίηση!B$2:B$8,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D37" s="25" cm="1">
        <f t="array" ref="D37">_xlfn.LET(
    _xlpm.g_a, INDEX(Κανονικοποίηση!C$2:C$8, MATCH($A37, {"A";"B";"Γ";"Δ";"E";"Z";"H"}, 0)),
    _xlpm.g_b, INDEX(Κανονικοποίηση!C$2:C$8,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E37" s="25" cm="1">
        <f t="array" ref="E37">_xlfn.LET(
    _xlpm.g_a, INDEX(Κανονικοποίηση!D$2:D$8, MATCH($A37, {"A";"B";"Γ";"Δ";"E";"Z";"H"}, 0)),
    _xlpm.g_b, INDEX(Κανονικοποίηση!D$2:D$8,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F37" s="25" cm="1">
        <f t="array" ref="F37">_xlfn.LET(
    _xlpm.g_a, INDEX(Κανονικοποίηση!E$2:E$8, MATCH($A37, {"A";"B";"Γ";"Δ";"E";"Z";"H"}, 0)),
    _xlpm.g_b, INDEX(Κανονικοποίηση!E$2:E$8,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G37" s="25" cm="1">
        <f t="array" ref="G37">_xlfn.LET(
    _xlpm.g_a, INDEX(Κανονικοποίηση!F$2:F$8, MATCH($A37, {"A";"B";"Γ";"Δ";"E";"Z";"H"}, 0)),
    _xlpm.g_b, INDEX(Κανονικοποίηση!F$2:F$8,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H37" s="25" cm="1">
        <f t="array" ref="H37">_xlfn.LET(
    _xlpm.g_a, INDEX(Κανονικοποίηση!G$2:G$8, MATCH($A37, {"A";"B";"Γ";"Δ";"E";"Z";"H"}, 0)),
    _xlpm.g_b, INDEX(Κανονικοποίηση!G$2:G$8,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I37" s="25" cm="1">
        <f t="array" ref="I37">_xlfn.LET(
    _xlpm.g_a, INDEX(Κανονικοποίηση!H$2:H$8, MATCH($A37, {"A";"B";"Γ";"Δ";"E";"Z";"H"}, 0)),
    _xlpm.g_b, INDEX(Κανονικοποίηση!H$2:H$8,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J37" s="25" cm="1">
        <f t="array" ref="J37">_xlfn.LET(
    _xlpm.g_a, INDEX(Κανονικοποίηση!I$2:I$8, MATCH($A37, {"A";"B";"Γ";"Δ";"E";"Z";"H"}, 0)),
    _xlpm.g_b, INDEX(Κανονικοποίηση!I$2:I$8,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K37" s="25" cm="1">
        <f t="array" ref="K37">_xlfn.LET(
    _xlpm.g_a, INDEX(Κανονικοποίηση!J$2:J$8, MATCH($A37, {"A";"B";"Γ";"Δ";"E";"Z";"H"}, 0)),
    _xlpm.g_b, INDEX(Κανονικοποίηση!J$2:J$8,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L37" s="25" cm="1">
        <f t="array" ref="L37">_xlfn.LET(
    _xlpm.g_a, INDEX(Κανονικοποίηση!K$2:K$8, MATCH($A37, {"A";"B";"Γ";"Δ";"E";"Z";"H"}, 0)),
    _xlpm.g_b, INDEX(Κανονικοποίηση!K$2:K$8, MATCH($B37, {"A";"B";"Γ";"Δ";"E";"Z";"H"}, 0)),
    _xlpm.type, "Benefit",
    _xlpm.diff, IF(OR(COLUMN()=3, COLUMN()=8, COLUMN()=9), _xlpm.g_b - _xlpm.g_a, _xlpm.g_a - _xlpm.g_b),
    _xlpm.q, ELECTRE!$R23,
    _xlpm.p, ELECTRE!$S23,
    IF(_xlpm.diff &gt;= -_xlpm.q, 1, IF(_xlpm.diff &lt;= -_xlpm.p, 0, (_xlpm.diff + _xlpm.p) / (_xlpm.p - _xlpm.q)))
)</f>
        <v>1</v>
      </c>
      <c r="M37" s="25" cm="1">
        <f t="array" ref="M37">SUMPRODUCT(C37:L37, TRANSPOSE(Βάρη!$E$2:$E$11))</f>
        <v>1</v>
      </c>
      <c r="N37" s="25" cm="1">
        <f t="array" ref="N37">SUMPRODUCT(C37:L37, TRANSPOSE(Βάρη!$C$2:$C$11))</f>
        <v>1</v>
      </c>
      <c r="O37" s="25" cm="1">
        <f t="array" ref="O37">SUMPRODUCT(C37:L37, TRANSPOSE(Βάρη!$D$2:$D$11))</f>
        <v>1.0000000000000002</v>
      </c>
      <c r="P37" s="25" cm="1">
        <f t="array" ref="P37">SUMPRODUCT(C37:L37, TRANSPOSE(Βάρη!$F$2:$F$11))</f>
        <v>1</v>
      </c>
      <c r="Q37" s="41" cm="1">
        <f t="array" ref="Q37">SUMPRODUCT(C37:L37, TRANSPOSE(Σύνοψη!$J$3:$J$12))</f>
        <v>3.6602464764590579</v>
      </c>
    </row>
    <row r="38" spans="1:17">
      <c r="A38" s="7" t="s">
        <v>14</v>
      </c>
      <c r="B38" s="7" t="s">
        <v>16</v>
      </c>
      <c r="C38" s="25" cm="1">
        <f t="array" ref="C38">_xlfn.LET(
    _xlpm.g_a, INDEX(Κανονικοποίηση!B$2:B$8, MATCH($A38, {"A";"B";"Γ";"Δ";"E";"Z";"H"}, 0)),
    _xlpm.g_b, INDEX(Κανονικοποίηση!B$2:B$8,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D38" s="25" cm="1">
        <f t="array" ref="D38">_xlfn.LET(
    _xlpm.g_a, INDEX(Κανονικοποίηση!C$2:C$8, MATCH($A38, {"A";"B";"Γ";"Δ";"E";"Z";"H"}, 0)),
    _xlpm.g_b, INDEX(Κανονικοποίηση!C$2:C$8,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E38" s="25" cm="1">
        <f t="array" ref="E38">_xlfn.LET(
    _xlpm.g_a, INDEX(Κανονικοποίηση!D$2:D$8, MATCH($A38, {"A";"B";"Γ";"Δ";"E";"Z";"H"}, 0)),
    _xlpm.g_b, INDEX(Κανονικοποίηση!D$2:D$8,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F38" s="25" cm="1">
        <f t="array" ref="F38">_xlfn.LET(
    _xlpm.g_a, INDEX(Κανονικοποίηση!E$2:E$8, MATCH($A38, {"A";"B";"Γ";"Δ";"E";"Z";"H"}, 0)),
    _xlpm.g_b, INDEX(Κανονικοποίηση!E$2:E$8,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G38" s="25" cm="1">
        <f t="array" ref="G38">_xlfn.LET(
    _xlpm.g_a, INDEX(Κανονικοποίηση!F$2:F$8, MATCH($A38, {"A";"B";"Γ";"Δ";"E";"Z";"H"}, 0)),
    _xlpm.g_b, INDEX(Κανονικοποίηση!F$2:F$8,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H38" s="25" cm="1">
        <f t="array" ref="H38">_xlfn.LET(
    _xlpm.g_a, INDEX(Κανονικοποίηση!G$2:G$8, MATCH($A38, {"A";"B";"Γ";"Δ";"E";"Z";"H"}, 0)),
    _xlpm.g_b, INDEX(Κανονικοποίηση!G$2:G$8,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I38" s="25" cm="1">
        <f t="array" ref="I38">_xlfn.LET(
    _xlpm.g_a, INDEX(Κανονικοποίηση!H$2:H$8, MATCH($A38, {"A";"B";"Γ";"Δ";"E";"Z";"H"}, 0)),
    _xlpm.g_b, INDEX(Κανονικοποίηση!H$2:H$8,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0</v>
      </c>
      <c r="J38" s="25" cm="1">
        <f t="array" ref="J38">_xlfn.LET(
    _xlpm.g_a, INDEX(Κανονικοποίηση!I$2:I$8, MATCH($A38, {"A";"B";"Γ";"Δ";"E";"Z";"H"}, 0)),
    _xlpm.g_b, INDEX(Κανονικοποίηση!I$2:I$8,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K38" s="25" cm="1">
        <f t="array" ref="K38">_xlfn.LET(
    _xlpm.g_a, INDEX(Κανονικοποίηση!J$2:J$8, MATCH($A38, {"A";"B";"Γ";"Δ";"E";"Z";"H"}, 0)),
    _xlpm.g_b, INDEX(Κανονικοποίηση!J$2:J$8,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0</v>
      </c>
      <c r="L38" s="25" cm="1">
        <f t="array" ref="L38">_xlfn.LET(
    _xlpm.g_a, INDEX(Κανονικοποίηση!K$2:K$8, MATCH($A38, {"A";"B";"Γ";"Δ";"E";"Z";"H"}, 0)),
    _xlpm.g_b, INDEX(Κανονικοποίηση!K$2:K$8, MATCH($B38, {"A";"B";"Γ";"Δ";"E";"Z";"H"}, 0)),
    _xlpm.type, "Benefit",
    _xlpm.diff, IF(OR(COLUMN()=3, COLUMN()=8, COLUMN()=9), _xlpm.g_b - _xlpm.g_a, _xlpm.g_a - _xlpm.g_b),
    _xlpm.q, ELECTRE!$R24,
    _xlpm.p, ELECTRE!$S24,
    IF(_xlpm.diff &gt;= -_xlpm.q, 1, IF(_xlpm.diff &lt;= -_xlpm.p, 0, (_xlpm.diff + _xlpm.p) / (_xlpm.p - _xlpm.q)))
)</f>
        <v>1</v>
      </c>
      <c r="M38" s="25" cm="1">
        <f t="array" ref="M38">SUMPRODUCT(C38:L38, TRANSPOSE(Βάρη!$E$2:$E$11))</f>
        <v>0.95650000000000013</v>
      </c>
      <c r="N38" s="25" cm="1">
        <f t="array" ref="N38">SUMPRODUCT(C38:L38, TRANSPOSE(Βάρη!$C$2:$C$11))</f>
        <v>0.90909090909090906</v>
      </c>
      <c r="O38" s="25" cm="1">
        <f t="array" ref="O38">SUMPRODUCT(C38:L38, TRANSPOSE(Βάρη!$D$2:$D$11))</f>
        <v>0.91938761685408488</v>
      </c>
      <c r="P38" s="25" cm="1">
        <f t="array" ref="P38">SUMPRODUCT(C38:L38, TRANSPOSE(Βάρη!$F$2:$F$11))</f>
        <v>0.89090909090909098</v>
      </c>
      <c r="Q38" s="41" cm="1">
        <f t="array" ref="Q38">SUMPRODUCT(C38:L38, TRANSPOSE(Σύνοψη!$J$3:$J$12))</f>
        <v>3.2316543064039043</v>
      </c>
    </row>
    <row r="39" spans="1:17">
      <c r="A39" s="7" t="s">
        <v>14</v>
      </c>
      <c r="B39" s="7" t="s">
        <v>17</v>
      </c>
      <c r="C39" s="25" cm="1">
        <f t="array" ref="C39">_xlfn.LET(
    _xlpm.g_a, INDEX(Κανονικοποίηση!B$2:B$8, MATCH($A39, {"A";"B";"Γ";"Δ";"E";"Z";"H"}, 0)),
    _xlpm.g_b, INDEX(Κανονικοποίηση!B$2:B$8,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D39" s="25" cm="1">
        <f t="array" ref="D39">_xlfn.LET(
    _xlpm.g_a, INDEX(Κανονικοποίηση!C$2:C$8, MATCH($A39, {"A";"B";"Γ";"Δ";"E";"Z";"H"}, 0)),
    _xlpm.g_b, INDEX(Κανονικοποίηση!C$2:C$8,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E39" s="25" cm="1">
        <f t="array" ref="E39">_xlfn.LET(
    _xlpm.g_a, INDEX(Κανονικοποίηση!D$2:D$8, MATCH($A39, {"A";"B";"Γ";"Δ";"E";"Z";"H"}, 0)),
    _xlpm.g_b, INDEX(Κανονικοποίηση!D$2:D$8,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F39" s="25" cm="1">
        <f t="array" ref="F39">_xlfn.LET(
    _xlpm.g_a, INDEX(Κανονικοποίηση!E$2:E$8, MATCH($A39, {"A";"B";"Γ";"Δ";"E";"Z";"H"}, 0)),
    _xlpm.g_b, INDEX(Κανονικοποίηση!E$2:E$8,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G39" s="25" cm="1">
        <f t="array" ref="G39">_xlfn.LET(
    _xlpm.g_a, INDEX(Κανονικοποίηση!F$2:F$8, MATCH($A39, {"A";"B";"Γ";"Δ";"E";"Z";"H"}, 0)),
    _xlpm.g_b, INDEX(Κανονικοποίηση!F$2:F$8,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H39" s="25" cm="1">
        <f t="array" ref="H39">_xlfn.LET(
    _xlpm.g_a, INDEX(Κανονικοποίηση!G$2:G$8, MATCH($A39, {"A";"B";"Γ";"Δ";"E";"Z";"H"}, 0)),
    _xlpm.g_b, INDEX(Κανονικοποίηση!G$2:G$8,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I39" s="25" cm="1">
        <f t="array" ref="I39">_xlfn.LET(
    _xlpm.g_a, INDEX(Κανονικοποίηση!H$2:H$8, MATCH($A39, {"A";"B";"Γ";"Δ";"E";"Z";"H"}, 0)),
    _xlpm.g_b, INDEX(Κανονικοποίηση!H$2:H$8,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J39" s="25" cm="1">
        <f t="array" ref="J39">_xlfn.LET(
    _xlpm.g_a, INDEX(Κανονικοποίηση!I$2:I$8, MATCH($A39, {"A";"B";"Γ";"Δ";"E";"Z";"H"}, 0)),
    _xlpm.g_b, INDEX(Κανονικοποίηση!I$2:I$8,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K39" s="25" cm="1">
        <f t="array" ref="K39">_xlfn.LET(
    _xlpm.g_a, INDEX(Κανονικοποίηση!J$2:J$8, MATCH($A39, {"A";"B";"Γ";"Δ";"E";"Z";"H"}, 0)),
    _xlpm.g_b, INDEX(Κανονικοποίηση!J$2:J$8,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L39" s="25" cm="1">
        <f t="array" ref="L39">_xlfn.LET(
    _xlpm.g_a, INDEX(Κανονικοποίηση!K$2:K$8, MATCH($A39, {"A";"B";"Γ";"Δ";"E";"Z";"H"}, 0)),
    _xlpm.g_b, INDEX(Κανονικοποίηση!K$2:K$8, MATCH($B39, {"A";"B";"Γ";"Δ";"E";"Z";"H"}, 0)),
    _xlpm.type, "Benefit",
    _xlpm.diff, IF(OR(COLUMN()=3, COLUMN()=8, COLUMN()=9), _xlpm.g_b - _xlpm.g_a, _xlpm.g_a - _xlpm.g_b),
    _xlpm.q, ELECTRE!$R25,
    _xlpm.p, ELECTRE!$S25,
    IF(_xlpm.diff &gt;= -_xlpm.q, 1, IF(_xlpm.diff &lt;= -_xlpm.p, 0, (_xlpm.diff + _xlpm.p) / (_xlpm.p - _xlpm.q)))
)</f>
        <v>1</v>
      </c>
      <c r="M39" s="25" cm="1">
        <f t="array" ref="M39">SUMPRODUCT(C39:L39, TRANSPOSE(Βάρη!$E$2:$E$11))</f>
        <v>1</v>
      </c>
      <c r="N39" s="25" cm="1">
        <f t="array" ref="N39">SUMPRODUCT(C39:L39, TRANSPOSE(Βάρη!$C$2:$C$11))</f>
        <v>1</v>
      </c>
      <c r="O39" s="25" cm="1">
        <f t="array" ref="O39">SUMPRODUCT(C39:L39, TRANSPOSE(Βάρη!$D$2:$D$11))</f>
        <v>1.0000000000000002</v>
      </c>
      <c r="P39" s="25" cm="1">
        <f t="array" ref="P39">SUMPRODUCT(C39:L39, TRANSPOSE(Βάρη!$F$2:$F$11))</f>
        <v>1</v>
      </c>
      <c r="Q39" s="41" cm="1">
        <f t="array" ref="Q39">SUMPRODUCT(C39:L39, TRANSPOSE(Σύνοψη!$J$3:$J$12))</f>
        <v>3.6602464764590579</v>
      </c>
    </row>
    <row r="40" spans="1:17">
      <c r="A40" s="7" t="s">
        <v>15</v>
      </c>
      <c r="B40" s="7" t="s">
        <v>11</v>
      </c>
      <c r="C40" s="25" cm="1">
        <f t="array" ref="C40">_xlfn.LET(
    _xlpm.g_a, INDEX(Κανονικοποίηση!B$2:B$8, MATCH($A40, {"A";"B";"Γ";"Δ";"E";"Z";"H"}, 0)),
    _xlpm.g_b, INDEX(Κανονικοποίηση!B$2:B$8,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D40" s="25" cm="1">
        <f t="array" ref="D40">_xlfn.LET(
    _xlpm.g_a, INDEX(Κανονικοποίηση!C$2:C$8, MATCH($A40, {"A";"B";"Γ";"Δ";"E";"Z";"H"}, 0)),
    _xlpm.g_b, INDEX(Κανονικοποίηση!C$2:C$8,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E40" s="25" cm="1">
        <f t="array" ref="E40">_xlfn.LET(
    _xlpm.g_a, INDEX(Κανονικοποίηση!D$2:D$8, MATCH($A40, {"A";"B";"Γ";"Δ";"E";"Z";"H"}, 0)),
    _xlpm.g_b, INDEX(Κανονικοποίηση!D$2:D$8,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F40" s="25" cm="1">
        <f t="array" ref="F40">_xlfn.LET(
    _xlpm.g_a, INDEX(Κανονικοποίηση!E$2:E$8, MATCH($A40, {"A";"B";"Γ";"Δ";"E";"Z";"H"}, 0)),
    _xlpm.g_b, INDEX(Κανονικοποίηση!E$2:E$8,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G40" s="25" cm="1">
        <f t="array" ref="G40">_xlfn.LET(
    _xlpm.g_a, INDEX(Κανονικοποίηση!F$2:F$8, MATCH($A40, {"A";"B";"Γ";"Δ";"E";"Z";"H"}, 0)),
    _xlpm.g_b, INDEX(Κανονικοποίηση!F$2:F$8,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1</v>
      </c>
      <c r="H40" s="25" cm="1">
        <f t="array" ref="H40">_xlfn.LET(
    _xlpm.g_a, INDEX(Κανονικοποίηση!G$2:G$8, MATCH($A40, {"A";"B";"Γ";"Δ";"E";"Z";"H"}, 0)),
    _xlpm.g_b, INDEX(Κανονικοποίηση!G$2:G$8,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I40" s="25" cm="1">
        <f t="array" ref="I40">_xlfn.LET(
    _xlpm.g_a, INDEX(Κανονικοποίηση!H$2:H$8, MATCH($A40, {"A";"B";"Γ";"Δ";"E";"Z";"H"}, 0)),
    _xlpm.g_b, INDEX(Κανονικοποίηση!H$2:H$8,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J40" s="25" cm="1">
        <f t="array" ref="J40">_xlfn.LET(
    _xlpm.g_a, INDEX(Κανονικοποίηση!I$2:I$8, MATCH($A40, {"A";"B";"Γ";"Δ";"E";"Z";"H"}, 0)),
    _xlpm.g_b, INDEX(Κανονικοποίηση!I$2:I$8,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K40" s="25" cm="1">
        <f t="array" ref="K40">_xlfn.LET(
    _xlpm.g_a, INDEX(Κανονικοποίηση!J$2:J$8, MATCH($A40, {"A";"B";"Γ";"Δ";"E";"Z";"H"}, 0)),
    _xlpm.g_b, INDEX(Κανονικοποίηση!J$2:J$8,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L40" s="25" cm="1">
        <f t="array" ref="L40">_xlfn.LET(
    _xlpm.g_a, INDEX(Κανονικοποίηση!K$2:K$8, MATCH($A40, {"A";"B";"Γ";"Δ";"E";"Z";"H"}, 0)),
    _xlpm.g_b, INDEX(Κανονικοποίηση!K$2:K$8, MATCH($B40, {"A";"B";"Γ";"Δ";"E";"Z";"H"}, 0)),
    _xlpm.type, "Benefit",
    _xlpm.diff, IF(OR(COLUMN()=3, COLUMN()=8, COLUMN()=9), _xlpm.g_b - _xlpm.g_a, _xlpm.g_a - _xlpm.g_b),
    _xlpm.q, ELECTRE!$R26,
    _xlpm.p, ELECTRE!$S26,
    IF(_xlpm.diff &gt;= -_xlpm.q, 1, IF(_xlpm.diff &lt;= -_xlpm.p, 0, (_xlpm.diff + _xlpm.p) / (_xlpm.p - _xlpm.q)))
)</f>
        <v>0</v>
      </c>
      <c r="M40" s="25" cm="1">
        <f t="array" ref="M40">SUMPRODUCT(C40:L40, TRANSPOSE(Βάρη!$E$2:$E$11))</f>
        <v>6.4600000000000005E-2</v>
      </c>
      <c r="N40" s="25" cm="1">
        <f t="array" ref="N40">SUMPRODUCT(C40:L40, TRANSPOSE(Βάρη!$C$2:$C$11))</f>
        <v>9.0909090909090912E-2</v>
      </c>
      <c r="O40" s="25" cm="1">
        <f t="array" ref="O40">SUMPRODUCT(C40:L40, TRANSPOSE(Βάρη!$D$2:$D$11))</f>
        <v>5.6902858691234251E-2</v>
      </c>
      <c r="P40" s="25" cm="1">
        <f t="array" ref="P40">SUMPRODUCT(C40:L40, TRANSPOSE(Βάρη!$F$2:$F$11))</f>
        <v>0.10909090909090909</v>
      </c>
      <c r="Q40" s="41" cm="1">
        <f t="array" ref="Q40">SUMPRODUCT(C40:L40, TRANSPOSE(Σύνοψη!$J$3:$J$12))</f>
        <v>0.36883840646011801</v>
      </c>
    </row>
    <row r="41" spans="1:17">
      <c r="A41" s="7" t="s">
        <v>15</v>
      </c>
      <c r="B41" s="7" t="s">
        <v>12</v>
      </c>
      <c r="C41" s="25" cm="1">
        <f t="array" ref="C41">_xlfn.LET(
    _xlpm.g_a, INDEX(Κανονικοποίηση!B$2:B$8, MATCH($A41, {"A";"B";"Γ";"Δ";"E";"Z";"H"}, 0)),
    _xlpm.g_b, INDEX(Κανονικοποίηση!B$2:B$8,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D41" s="25" cm="1">
        <f t="array" ref="D41">_xlfn.LET(
    _xlpm.g_a, INDEX(Κανονικοποίηση!C$2:C$8, MATCH($A41, {"A";"B";"Γ";"Δ";"E";"Z";"H"}, 0)),
    _xlpm.g_b, INDEX(Κανονικοποίηση!C$2:C$8,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E41" s="25" cm="1">
        <f t="array" ref="E41">_xlfn.LET(
    _xlpm.g_a, INDEX(Κανονικοποίηση!D$2:D$8, MATCH($A41, {"A";"B";"Γ";"Δ";"E";"Z";"H"}, 0)),
    _xlpm.g_b, INDEX(Κανονικοποίηση!D$2:D$8,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F41" s="25" cm="1">
        <f t="array" ref="F41">_xlfn.LET(
    _xlpm.g_a, INDEX(Κανονικοποίηση!E$2:E$8, MATCH($A41, {"A";"B";"Γ";"Δ";"E";"Z";"H"}, 0)),
    _xlpm.g_b, INDEX(Κανονικοποίηση!E$2:E$8,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G41" s="25" cm="1">
        <f t="array" ref="G41">_xlfn.LET(
    _xlpm.g_a, INDEX(Κανονικοποίηση!F$2:F$8, MATCH($A41, {"A";"B";"Γ";"Δ";"E";"Z";"H"}, 0)),
    _xlpm.g_b, INDEX(Κανονικοποίηση!F$2:F$8,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1</v>
      </c>
      <c r="H41" s="25" cm="1">
        <f t="array" ref="H41">_xlfn.LET(
    _xlpm.g_a, INDEX(Κανονικοποίηση!G$2:G$8, MATCH($A41, {"A";"B";"Γ";"Δ";"E";"Z";"H"}, 0)),
    _xlpm.g_b, INDEX(Κανονικοποίηση!G$2:G$8,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I41" s="25" cm="1">
        <f t="array" ref="I41">_xlfn.LET(
    _xlpm.g_a, INDEX(Κανονικοποίηση!H$2:H$8, MATCH($A41, {"A";"B";"Γ";"Δ";"E";"Z";"H"}, 0)),
    _xlpm.g_b, INDEX(Κανονικοποίηση!H$2:H$8,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1</v>
      </c>
      <c r="J41" s="25" cm="1">
        <f t="array" ref="J41">_xlfn.LET(
    _xlpm.g_a, INDEX(Κανονικοποίηση!I$2:I$8, MATCH($A41, {"A";"B";"Γ";"Δ";"E";"Z";"H"}, 0)),
    _xlpm.g_b, INDEX(Κανονικοποίηση!I$2:I$8,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K41" s="25" cm="1">
        <f t="array" ref="K41">_xlfn.LET(
    _xlpm.g_a, INDEX(Κανονικοποίηση!J$2:J$8, MATCH($A41, {"A";"B";"Γ";"Δ";"E";"Z";"H"}, 0)),
    _xlpm.g_b, INDEX(Κανονικοποίηση!J$2:J$8,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L41" s="25" cm="1">
        <f t="array" ref="L41">_xlfn.LET(
    _xlpm.g_a, INDEX(Κανονικοποίηση!K$2:K$8, MATCH($A41, {"A";"B";"Γ";"Δ";"E";"Z";"H"}, 0)),
    _xlpm.g_b, INDEX(Κανονικοποίηση!K$2:K$8, MATCH($B41, {"A";"B";"Γ";"Δ";"E";"Z";"H"}, 0)),
    _xlpm.type, "Benefit",
    _xlpm.diff, IF(OR(COLUMN()=3, COLUMN()=8, COLUMN()=9), _xlpm.g_b - _xlpm.g_a, _xlpm.g_a - _xlpm.g_b),
    _xlpm.q, ELECTRE!$R27,
    _xlpm.p, ELECTRE!$S27,
    IF(_xlpm.diff &gt;= -_xlpm.q, 1, IF(_xlpm.diff &lt;= -_xlpm.p, 0, (_xlpm.diff + _xlpm.p) / (_xlpm.p - _xlpm.q)))
)</f>
        <v>0</v>
      </c>
      <c r="M41" s="25" cm="1">
        <f t="array" ref="M41">SUMPRODUCT(C41:L41, TRANSPOSE(Βάρη!$E$2:$E$11))</f>
        <v>9.820000000000001E-2</v>
      </c>
      <c r="N41" s="25" cm="1">
        <f t="array" ref="N41">SUMPRODUCT(C41:L41, TRANSPOSE(Βάρη!$C$2:$C$11))</f>
        <v>0.14545454545454545</v>
      </c>
      <c r="O41" s="25" cm="1">
        <f t="array" ref="O41">SUMPRODUCT(C41:L41, TRANSPOSE(Βάρη!$D$2:$D$11))</f>
        <v>9.9580002709659943E-2</v>
      </c>
      <c r="P41" s="25" cm="1">
        <f t="array" ref="P41">SUMPRODUCT(C41:L41, TRANSPOSE(Βάρη!$F$2:$F$11))</f>
        <v>0.18181818181818182</v>
      </c>
      <c r="Q41" s="41" cm="1">
        <f t="array" ref="Q41">SUMPRODUCT(C41:L41, TRANSPOSE(Σύνοψη!$J$3:$J$12))</f>
        <v>0.79743057651527183</v>
      </c>
    </row>
    <row r="42" spans="1:17">
      <c r="A42" s="7" t="s">
        <v>15</v>
      </c>
      <c r="B42" s="7" t="s">
        <v>13</v>
      </c>
      <c r="C42" s="25" cm="1">
        <f t="array" ref="C42">_xlfn.LET(
    _xlpm.g_a, INDEX(Κανονικοποίηση!B$2:B$8, MATCH($A42, {"A";"B";"Γ";"Δ";"E";"Z";"H"}, 0)),
    _xlpm.g_b, INDEX(Κανονικοποίηση!B$2:B$8,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D42" s="25" cm="1">
        <f t="array" ref="D42">_xlfn.LET(
    _xlpm.g_a, INDEX(Κανονικοποίηση!C$2:C$8, MATCH($A42, {"A";"B";"Γ";"Δ";"E";"Z";"H"}, 0)),
    _xlpm.g_b, INDEX(Κανονικοποίηση!C$2:C$8,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E42" s="25" cm="1">
        <f t="array" ref="E42">_xlfn.LET(
    _xlpm.g_a, INDEX(Κανονικοποίηση!D$2:D$8, MATCH($A42, {"A";"B";"Γ";"Δ";"E";"Z";"H"}, 0)),
    _xlpm.g_b, INDEX(Κανονικοποίηση!D$2:D$8,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F42" s="25" cm="1">
        <f t="array" ref="F42">_xlfn.LET(
    _xlpm.g_a, INDEX(Κανονικοποίηση!E$2:E$8, MATCH($A42, {"A";"B";"Γ";"Δ";"E";"Z";"H"}, 0)),
    _xlpm.g_b, INDEX(Κανονικοποίηση!E$2:E$8,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1</v>
      </c>
      <c r="G42" s="25" cm="1">
        <f t="array" ref="G42">_xlfn.LET(
    _xlpm.g_a, INDEX(Κανονικοποίηση!F$2:F$8, MATCH($A42, {"A";"B";"Γ";"Δ";"E";"Z";"H"}, 0)),
    _xlpm.g_b, INDEX(Κανονικοποίηση!F$2:F$8,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H42" s="25" cm="1">
        <f t="array" ref="H42">_xlfn.LET(
    _xlpm.g_a, INDEX(Κανονικοποίηση!G$2:G$8, MATCH($A42, {"A";"B";"Γ";"Δ";"E";"Z";"H"}, 0)),
    _xlpm.g_b, INDEX(Κανονικοποίηση!G$2:G$8,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I42" s="25" cm="1">
        <f t="array" ref="I42">_xlfn.LET(
    _xlpm.g_a, INDEX(Κανονικοποίηση!H$2:H$8, MATCH($A42, {"A";"B";"Γ";"Δ";"E";"Z";"H"}, 0)),
    _xlpm.g_b, INDEX(Κανονικοποίηση!H$2:H$8,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J42" s="25" cm="1">
        <f t="array" ref="J42">_xlfn.LET(
    _xlpm.g_a, INDEX(Κανονικοποίηση!I$2:I$8, MATCH($A42, {"A";"B";"Γ";"Δ";"E";"Z";"H"}, 0)),
    _xlpm.g_b, INDEX(Κανονικοποίηση!I$2:I$8,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K42" s="25" cm="1">
        <f t="array" ref="K42">_xlfn.LET(
    _xlpm.g_a, INDEX(Κανονικοποίηση!J$2:J$8, MATCH($A42, {"A";"B";"Γ";"Δ";"E";"Z";"H"}, 0)),
    _xlpm.g_b, INDEX(Κανονικοποίηση!J$2:J$8,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L42" s="25" cm="1">
        <f t="array" ref="L42">_xlfn.LET(
    _xlpm.g_a, INDEX(Κανονικοποίηση!K$2:K$8, MATCH($A42, {"A";"B";"Γ";"Δ";"E";"Z";"H"}, 0)),
    _xlpm.g_b, INDEX(Κανονικοποίηση!K$2:K$8, MATCH($B42, {"A";"B";"Γ";"Δ";"E";"Z";"H"}, 0)),
    _xlpm.type, "Benefit",
    _xlpm.diff, IF(OR(COLUMN()=3, COLUMN()=8, COLUMN()=9), _xlpm.g_b - _xlpm.g_a, _xlpm.g_a - _xlpm.g_b),
    _xlpm.q, ELECTRE!$R28,
    _xlpm.p, ELECTRE!$S28,
    IF(_xlpm.diff &gt;= -_xlpm.q, 1, IF(_xlpm.diff &lt;= -_xlpm.p, 0, (_xlpm.diff + _xlpm.p) / (_xlpm.p - _xlpm.q)))
)</f>
        <v>0</v>
      </c>
      <c r="M42" s="25" cm="1">
        <f t="array" ref="M42">SUMPRODUCT(C42:L42, TRANSPOSE(Βάρη!$E$2:$E$11))</f>
        <v>4.7899999999999998E-2</v>
      </c>
      <c r="N42" s="25" cm="1">
        <f t="array" ref="N42">SUMPRODUCT(C42:L42, TRANSPOSE(Βάρη!$C$2:$C$11))</f>
        <v>7.2727272727272724E-2</v>
      </c>
      <c r="O42" s="25" cm="1">
        <f t="array" ref="O42">SUMPRODUCT(C42:L42, TRANSPOSE(Βάρη!$D$2:$D$11))</f>
        <v>4.877387887820079E-2</v>
      </c>
      <c r="P42" s="25" cm="1">
        <f t="array" ref="P42">SUMPRODUCT(C42:L42, TRANSPOSE(Βάρη!$F$2:$F$11))</f>
        <v>0.12727272727272726</v>
      </c>
      <c r="Q42" s="41" cm="1">
        <f t="array" ref="Q42">SUMPRODUCT(C42:L42, TRANSPOSE(Σύνοψη!$J$3:$J$12))</f>
        <v>0.64319125274830358</v>
      </c>
    </row>
    <row r="43" spans="1:17">
      <c r="A43" s="7" t="s">
        <v>15</v>
      </c>
      <c r="B43" s="7" t="s">
        <v>14</v>
      </c>
      <c r="C43" s="25" cm="1">
        <f t="array" ref="C43">_xlfn.LET(
    _xlpm.g_a, INDEX(Κανονικοποίηση!B$2:B$8, MATCH($A43, {"A";"B";"Γ";"Δ";"E";"Z";"H"}, 0)),
    _xlpm.g_b, INDEX(Κανονικοποίηση!B$2:B$8,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D43" s="25" cm="1">
        <f t="array" ref="D43">_xlfn.LET(
    _xlpm.g_a, INDEX(Κανονικοποίηση!C$2:C$8, MATCH($A43, {"A";"B";"Γ";"Δ";"E";"Z";"H"}, 0)),
    _xlpm.g_b, INDEX(Κανονικοποίηση!C$2:C$8,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E43" s="25" cm="1">
        <f t="array" ref="E43">_xlfn.LET(
    _xlpm.g_a, INDEX(Κανονικοποίηση!D$2:D$8, MATCH($A43, {"A";"B";"Γ";"Δ";"E";"Z";"H"}, 0)),
    _xlpm.g_b, INDEX(Κανονικοποίηση!D$2:D$8,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F43" s="25" cm="1">
        <f t="array" ref="F43">_xlfn.LET(
    _xlpm.g_a, INDEX(Κανονικοποίηση!E$2:E$8, MATCH($A43, {"A";"B";"Γ";"Δ";"E";"Z";"H"}, 0)),
    _xlpm.g_b, INDEX(Κανονικοποίηση!E$2:E$8,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G43" s="25" cm="1">
        <f t="array" ref="G43">_xlfn.LET(
    _xlpm.g_a, INDEX(Κανονικοποίηση!F$2:F$8, MATCH($A43, {"A";"B";"Γ";"Δ";"E";"Z";"H"}, 0)),
    _xlpm.g_b, INDEX(Κανονικοποίηση!F$2:F$8,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H43" s="25" cm="1">
        <f t="array" ref="H43">_xlfn.LET(
    _xlpm.g_a, INDEX(Κανονικοποίηση!G$2:G$8, MATCH($A43, {"A";"B";"Γ";"Δ";"E";"Z";"H"}, 0)),
    _xlpm.g_b, INDEX(Κανονικοποίηση!G$2:G$8,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I43" s="25" cm="1">
        <f t="array" ref="I43">_xlfn.LET(
    _xlpm.g_a, INDEX(Κανονικοποίηση!H$2:H$8, MATCH($A43, {"A";"B";"Γ";"Δ";"E";"Z";"H"}, 0)),
    _xlpm.g_b, INDEX(Κανονικοποίηση!H$2:H$8,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J43" s="25" cm="1">
        <f t="array" ref="J43">_xlfn.LET(
    _xlpm.g_a, INDEX(Κανονικοποίηση!I$2:I$8, MATCH($A43, {"A";"B";"Γ";"Δ";"E";"Z";"H"}, 0)),
    _xlpm.g_b, INDEX(Κανονικοποίηση!I$2:I$8,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K43" s="25" cm="1">
        <f t="array" ref="K43">_xlfn.LET(
    _xlpm.g_a, INDEX(Κανονικοποίηση!J$2:J$8, MATCH($A43, {"A";"B";"Γ";"Δ";"E";"Z";"H"}, 0)),
    _xlpm.g_b, INDEX(Κανονικοποίηση!J$2:J$8,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L43" s="25" cm="1">
        <f t="array" ref="L43">_xlfn.LET(
    _xlpm.g_a, INDEX(Κανονικοποίηση!K$2:K$8, MATCH($A43, {"A";"B";"Γ";"Δ";"E";"Z";"H"}, 0)),
    _xlpm.g_b, INDEX(Κανονικοποίηση!K$2:K$8, MATCH($B43, {"A";"B";"Γ";"Δ";"E";"Z";"H"}, 0)),
    _xlpm.type, "Benefit",
    _xlpm.diff, IF(OR(COLUMN()=3, COLUMN()=8, COLUMN()=9), _xlpm.g_b - _xlpm.g_a, _xlpm.g_a - _xlpm.g_b),
    _xlpm.q, ELECTRE!$R29,
    _xlpm.p, ELECTRE!$S29,
    IF(_xlpm.diff &gt;= -_xlpm.q, 1, IF(_xlpm.diff &lt;= -_xlpm.p, 0, (_xlpm.diff + _xlpm.p) / (_xlpm.p - _xlpm.q)))
)</f>
        <v>0</v>
      </c>
      <c r="M43" s="25" cm="1">
        <f t="array" ref="M43">SUMPRODUCT(C43:L43, TRANSPOSE(Βάρη!$E$2:$E$11))</f>
        <v>0</v>
      </c>
      <c r="N43" s="25" cm="1">
        <f t="array" ref="N43">SUMPRODUCT(C43:L43, TRANSPOSE(Βάρη!$C$2:$C$11))</f>
        <v>0</v>
      </c>
      <c r="O43" s="25" cm="1">
        <f t="array" ref="O43">SUMPRODUCT(C43:L43, TRANSPOSE(Βάρη!$D$2:$D$11))</f>
        <v>0</v>
      </c>
      <c r="P43" s="25" cm="1">
        <f t="array" ref="P43">SUMPRODUCT(C43:L43, TRANSPOSE(Βάρη!$F$2:$F$11))</f>
        <v>0</v>
      </c>
      <c r="Q43" s="41" cm="1">
        <f t="array" ref="Q43">SUMPRODUCT(C43:L43, TRANSPOSE(Σύνοψη!$J$3:$J$12))</f>
        <v>0</v>
      </c>
    </row>
    <row r="44" spans="1:17">
      <c r="A44" s="7" t="s">
        <v>15</v>
      </c>
      <c r="B44" s="7" t="s">
        <v>16</v>
      </c>
      <c r="C44" s="25" cm="1">
        <f t="array" ref="C44">_xlfn.LET(
    _xlpm.g_a, INDEX(Κανονικοποίηση!B$2:B$8, MATCH($A44, {"A";"B";"Γ";"Δ";"E";"Z";"H"}, 0)),
    _xlpm.g_b, INDEX(Κανονικοποίηση!B$2:B$8,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D44" s="25" cm="1">
        <f t="array" ref="D44">_xlfn.LET(
    _xlpm.g_a, INDEX(Κανονικοποίηση!C$2:C$8, MATCH($A44, {"A";"B";"Γ";"Δ";"E";"Z";"H"}, 0)),
    _xlpm.g_b, INDEX(Κανονικοποίηση!C$2:C$8,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E44" s="25" cm="1">
        <f t="array" ref="E44">_xlfn.LET(
    _xlpm.g_a, INDEX(Κανονικοποίηση!D$2:D$8, MATCH($A44, {"A";"B";"Γ";"Δ";"E";"Z";"H"}, 0)),
    _xlpm.g_b, INDEX(Κανονικοποίηση!D$2:D$8,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F44" s="25" cm="1">
        <f t="array" ref="F44">_xlfn.LET(
    _xlpm.g_a, INDEX(Κανονικοποίηση!E$2:E$8, MATCH($A44, {"A";"B";"Γ";"Δ";"E";"Z";"H"}, 0)),
    _xlpm.g_b, INDEX(Κανονικοποίηση!E$2:E$8,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G44" s="25" cm="1">
        <f t="array" ref="G44">_xlfn.LET(
    _xlpm.g_a, INDEX(Κανονικοποίηση!F$2:F$8, MATCH($A44, {"A";"B";"Γ";"Δ";"E";"Z";"H"}, 0)),
    _xlpm.g_b, INDEX(Κανονικοποίηση!F$2:F$8,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H44" s="25" cm="1">
        <f t="array" ref="H44">_xlfn.LET(
    _xlpm.g_a, INDEX(Κανονικοποίηση!G$2:G$8, MATCH($A44, {"A";"B";"Γ";"Δ";"E";"Z";"H"}, 0)),
    _xlpm.g_b, INDEX(Κανονικοποίηση!G$2:G$8,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I44" s="25" cm="1">
        <f t="array" ref="I44">_xlfn.LET(
    _xlpm.g_a, INDEX(Κανονικοποίηση!H$2:H$8, MATCH($A44, {"A";"B";"Γ";"Δ";"E";"Z";"H"}, 0)),
    _xlpm.g_b, INDEX(Κανονικοποίηση!H$2:H$8,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J44" s="25" cm="1">
        <f t="array" ref="J44">_xlfn.LET(
    _xlpm.g_a, INDEX(Κανονικοποίηση!I$2:I$8, MATCH($A44, {"A";"B";"Γ";"Δ";"E";"Z";"H"}, 0)),
    _xlpm.g_b, INDEX(Κανονικοποίηση!I$2:I$8,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K44" s="25" cm="1">
        <f t="array" ref="K44">_xlfn.LET(
    _xlpm.g_a, INDEX(Κανονικοποίηση!J$2:J$8, MATCH($A44, {"A";"B";"Γ";"Δ";"E";"Z";"H"}, 0)),
    _xlpm.g_b, INDEX(Κανονικοποίηση!J$2:J$8,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L44" s="25" cm="1">
        <f t="array" ref="L44">_xlfn.LET(
    _xlpm.g_a, INDEX(Κανονικοποίηση!K$2:K$8, MATCH($A44, {"A";"B";"Γ";"Δ";"E";"Z";"H"}, 0)),
    _xlpm.g_b, INDEX(Κανονικοποίηση!K$2:K$8, MATCH($B44, {"A";"B";"Γ";"Δ";"E";"Z";"H"}, 0)),
    _xlpm.type, "Benefit",
    _xlpm.diff, IF(OR(COLUMN()=3, COLUMN()=8, COLUMN()=9), _xlpm.g_b - _xlpm.g_a, _xlpm.g_a - _xlpm.g_b),
    _xlpm.q, ELECTRE!$R30,
    _xlpm.p, ELECTRE!$S30,
    IF(_xlpm.diff &gt;= -_xlpm.q, 1, IF(_xlpm.diff &lt;= -_xlpm.p, 0, (_xlpm.diff + _xlpm.p) / (_xlpm.p - _xlpm.q)))
)</f>
        <v>0</v>
      </c>
      <c r="M44" s="25" cm="1">
        <f t="array" ref="M44">SUMPRODUCT(C44:L44, TRANSPOSE(Βάρη!$E$2:$E$11))</f>
        <v>0</v>
      </c>
      <c r="N44" s="25" cm="1">
        <f t="array" ref="N44">SUMPRODUCT(C44:L44, TRANSPOSE(Βάρη!$C$2:$C$11))</f>
        <v>0</v>
      </c>
      <c r="O44" s="25" cm="1">
        <f t="array" ref="O44">SUMPRODUCT(C44:L44, TRANSPOSE(Βάρη!$D$2:$D$11))</f>
        <v>0</v>
      </c>
      <c r="P44" s="25" cm="1">
        <f t="array" ref="P44">SUMPRODUCT(C44:L44, TRANSPOSE(Βάρη!$F$2:$F$11))</f>
        <v>0</v>
      </c>
      <c r="Q44" s="41" cm="1">
        <f t="array" ref="Q44">SUMPRODUCT(C44:L44, TRANSPOSE(Σύνοψη!$J$3:$J$12))</f>
        <v>0</v>
      </c>
    </row>
    <row r="45" spans="1:17">
      <c r="A45" s="7" t="s">
        <v>15</v>
      </c>
      <c r="B45" s="7" t="s">
        <v>17</v>
      </c>
      <c r="C45" s="25" cm="1">
        <f t="array" ref="C45">_xlfn.LET(
    _xlpm.g_a, INDEX(Κανονικοποίηση!B$2:B$8, MATCH($A45, {"A";"B";"Γ";"Δ";"E";"Z";"H"}, 0)),
    _xlpm.g_b, INDEX(Κανονικοποίηση!B$2:B$8,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0</v>
      </c>
      <c r="D45" s="25" cm="1">
        <f t="array" ref="D45">_xlfn.LET(
    _xlpm.g_a, INDEX(Κανονικοποίηση!C$2:C$8, MATCH($A45, {"A";"B";"Γ";"Δ";"E";"Z";"H"}, 0)),
    _xlpm.g_b, INDEX(Κανονικοποίηση!C$2:C$8,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0</v>
      </c>
      <c r="E45" s="25" cm="1">
        <f t="array" ref="E45">_xlfn.LET(
    _xlpm.g_a, INDEX(Κανονικοποίηση!D$2:D$8, MATCH($A45, {"A";"B";"Γ";"Δ";"E";"Z";"H"}, 0)),
    _xlpm.g_b, INDEX(Κανονικοποίηση!D$2:D$8,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0</v>
      </c>
      <c r="F45" s="25" cm="1">
        <f t="array" ref="F45">_xlfn.LET(
    _xlpm.g_a, INDEX(Κανονικοποίηση!E$2:E$8, MATCH($A45, {"A";"B";"Γ";"Δ";"E";"Z";"H"}, 0)),
    _xlpm.g_b, INDEX(Κανονικοποίηση!E$2:E$8,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1</v>
      </c>
      <c r="G45" s="25" cm="1">
        <f t="array" ref="G45">_xlfn.LET(
    _xlpm.g_a, INDEX(Κανονικοποίηση!F$2:F$8, MATCH($A45, {"A";"B";"Γ";"Δ";"E";"Z";"H"}, 0)),
    _xlpm.g_b, INDEX(Κανονικοποίηση!F$2:F$8,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1</v>
      </c>
      <c r="H45" s="25" cm="1">
        <f t="array" ref="H45">_xlfn.LET(
    _xlpm.g_a, INDEX(Κανονικοποίηση!G$2:G$8, MATCH($A45, {"A";"B";"Γ";"Δ";"E";"Z";"H"}, 0)),
    _xlpm.g_b, INDEX(Κανονικοποίηση!G$2:G$8,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0</v>
      </c>
      <c r="I45" s="25" cm="1">
        <f t="array" ref="I45">_xlfn.LET(
    _xlpm.g_a, INDEX(Κανονικοποίηση!H$2:H$8, MATCH($A45, {"A";"B";"Γ";"Δ";"E";"Z";"H"}, 0)),
    _xlpm.g_b, INDEX(Κανονικοποίηση!H$2:H$8,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0</v>
      </c>
      <c r="J45" s="25" cm="1">
        <f t="array" ref="J45">_xlfn.LET(
    _xlpm.g_a, INDEX(Κανονικοποίηση!I$2:I$8, MATCH($A45, {"A";"B";"Γ";"Δ";"E";"Z";"H"}, 0)),
    _xlpm.g_b, INDEX(Κανονικοποίηση!I$2:I$8,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0</v>
      </c>
      <c r="K45" s="25" cm="1">
        <f t="array" ref="K45">_xlfn.LET(
    _xlpm.g_a, INDEX(Κανονικοποίηση!J$2:J$8, MATCH($A45, {"A";"B";"Γ";"Δ";"E";"Z";"H"}, 0)),
    _xlpm.g_b, INDEX(Κανονικοποίηση!J$2:J$8,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0</v>
      </c>
      <c r="L45" s="25" cm="1">
        <f t="array" ref="L45">_xlfn.LET(
    _xlpm.g_a, INDEX(Κανονικοποίηση!K$2:K$8, MATCH($A45, {"A";"B";"Γ";"Δ";"E";"Z";"H"}, 0)),
    _xlpm.g_b, INDEX(Κανονικοποίηση!K$2:K$8, MATCH($B45, {"A";"B";"Γ";"Δ";"E";"Z";"H"}, 0)),
    _xlpm.type, "Benefit",
    _xlpm.diff, IF(OR(COLUMN()=3, COLUMN()=8, COLUMN()=9), _xlpm.g_b - _xlpm.g_a, _xlpm.g_a - _xlpm.g_b),
    _xlpm.q, ELECTRE!$R31,
    _xlpm.p, ELECTRE!$S31,
    IF(_xlpm.diff &gt;= -_xlpm.q, 1, IF(_xlpm.diff &lt;= -_xlpm.p, 0, (_xlpm.diff + _xlpm.p) / (_xlpm.p - _xlpm.q)))
)</f>
        <v>1</v>
      </c>
      <c r="M45" s="25" cm="1">
        <f t="array" ref="M45">SUMPRODUCT(C45:L45, TRANSPOSE(Βάρη!$E$2:$E$11))</f>
        <v>0.1336</v>
      </c>
      <c r="N45" s="25" cm="1">
        <f t="array" ref="N45">SUMPRODUCT(C45:L45, TRANSPOSE(Βάρη!$C$2:$C$11))</f>
        <v>0.18181818181818182</v>
      </c>
      <c r="O45" s="25" cm="1">
        <f t="array" ref="O45">SUMPRODUCT(C45:L45, TRANSPOSE(Βάρη!$D$2:$D$11))</f>
        <v>0.1398184527841756</v>
      </c>
      <c r="P45" s="25" cm="1">
        <f t="array" ref="P45">SUMPRODUCT(C45:L45, TRANSPOSE(Βάρη!$F$2:$F$11))</f>
        <v>0.25454545454545452</v>
      </c>
      <c r="Q45" s="41" cm="1">
        <f t="array" ref="Q45">SUMPRODUCT(C45:L45, TRANSPOSE(Σύνοψη!$J$3:$J$12))</f>
        <v>1.0120296592084217</v>
      </c>
    </row>
    <row r="46" spans="1:17">
      <c r="A46" s="7" t="s">
        <v>16</v>
      </c>
      <c r="B46" s="7" t="s">
        <v>11</v>
      </c>
      <c r="C46" s="25" cm="1">
        <f t="array" ref="C46">_xlfn.LET(
    _xlpm.g_a, INDEX(Κανονικοποίηση!B$2:B$8, MATCH($A46, {"A";"B";"Γ";"Δ";"E";"Z";"H"}, 0)),
    _xlpm.g_b, INDEX(Κανονικοποίηση!B$2:B$8,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D46" s="25" cm="1">
        <f t="array" ref="D46">_xlfn.LET(
    _xlpm.g_a, INDEX(Κανονικοποίηση!C$2:C$8, MATCH($A46, {"A";"B";"Γ";"Δ";"E";"Z";"H"}, 0)),
    _xlpm.g_b, INDEX(Κανονικοποίηση!C$2:C$8,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E46" s="25" cm="1">
        <f t="array" ref="E46">_xlfn.LET(
    _xlpm.g_a, INDEX(Κανονικοποίηση!D$2:D$8, MATCH($A46, {"A";"B";"Γ";"Δ";"E";"Z";"H"}, 0)),
    _xlpm.g_b, INDEX(Κανονικοποίηση!D$2:D$8,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F46" s="25" cm="1">
        <f t="array" ref="F46">_xlfn.LET(
    _xlpm.g_a, INDEX(Κανονικοποίηση!E$2:E$8, MATCH($A46, {"A";"B";"Γ";"Δ";"E";"Z";"H"}, 0)),
    _xlpm.g_b, INDEX(Κανονικοποίηση!E$2:E$8,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G46" s="25" cm="1">
        <f t="array" ref="G46">_xlfn.LET(
    _xlpm.g_a, INDEX(Κανονικοποίηση!F$2:F$8, MATCH($A46, {"A";"B";"Γ";"Δ";"E";"Z";"H"}, 0)),
    _xlpm.g_b, INDEX(Κανονικοποίηση!F$2:F$8,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H46" s="25" cm="1">
        <f t="array" ref="H46">_xlfn.LET(
    _xlpm.g_a, INDEX(Κανονικοποίηση!G$2:G$8, MATCH($A46, {"A";"B";"Γ";"Δ";"E";"Z";"H"}, 0)),
    _xlpm.g_b, INDEX(Κανονικοποίηση!G$2:G$8,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I46" s="25" cm="1">
        <f t="array" ref="I46">_xlfn.LET(
    _xlpm.g_a, INDEX(Κανονικοποίηση!H$2:H$8, MATCH($A46, {"A";"B";"Γ";"Δ";"E";"Z";"H"}, 0)),
    _xlpm.g_b, INDEX(Κανονικοποίηση!H$2:H$8,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J46" s="25" cm="1">
        <f t="array" ref="J46">_xlfn.LET(
    _xlpm.g_a, INDEX(Κανονικοποίηση!I$2:I$8, MATCH($A46, {"A";"B";"Γ";"Δ";"E";"Z";"H"}, 0)),
    _xlpm.g_b, INDEX(Κανονικοποίηση!I$2:I$8,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K46" s="25" cm="1">
        <f t="array" ref="K46">_xlfn.LET(
    _xlpm.g_a, INDEX(Κανονικοποίηση!J$2:J$8, MATCH($A46, {"A";"B";"Γ";"Δ";"E";"Z";"H"}, 0)),
    _xlpm.g_b, INDEX(Κανονικοποίηση!J$2:J$8,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0</v>
      </c>
      <c r="L46" s="25" cm="1">
        <f t="array" ref="L46">_xlfn.LET(
    _xlpm.g_a, INDEX(Κανονικοποίηση!K$2:K$8, MATCH($A46, {"A";"B";"Γ";"Δ";"E";"Z";"H"}, 0)),
    _xlpm.g_b, INDEX(Κανονικοποίηση!K$2:K$8, MATCH($B46, {"A";"B";"Γ";"Δ";"E";"Z";"H"}, 0)),
    _xlpm.type, "Benefit",
    _xlpm.diff, IF(OR(COLUMN()=3, COLUMN()=8, COLUMN()=9), _xlpm.g_b - _xlpm.g_a, _xlpm.g_a - _xlpm.g_b),
    _xlpm.q, ELECTRE!$R32,
    _xlpm.p, ELECTRE!$S32,
    IF(_xlpm.diff &gt;= -_xlpm.q, 1, IF(_xlpm.diff &lt;= -_xlpm.p, 0, (_xlpm.diff + _xlpm.p) / (_xlpm.p - _xlpm.q)))
)</f>
        <v>1</v>
      </c>
      <c r="M46" s="25" cm="1">
        <f t="array" ref="M46">SUMPRODUCT(C46:L46, TRANSPOSE(Βάρη!$E$2:$E$11))</f>
        <v>0.99010000000000009</v>
      </c>
      <c r="N46" s="25" cm="1">
        <f t="array" ref="N46">SUMPRODUCT(C46:L46, TRANSPOSE(Βάρη!$C$2:$C$11))</f>
        <v>0.96363636363636362</v>
      </c>
      <c r="O46" s="25" cm="1">
        <f t="array" ref="O46">SUMPRODUCT(C46:L46, TRANSPOSE(Βάρη!$D$2:$D$11))</f>
        <v>0.96206476087251058</v>
      </c>
      <c r="P46" s="25" cm="1">
        <f t="array" ref="P46">SUMPRODUCT(C46:L46, TRANSPOSE(Βάρη!$F$2:$F$11))</f>
        <v>0.96363636363636374</v>
      </c>
      <c r="Q46" s="41" cm="1">
        <f t="array" ref="Q46">SUMPRODUCT(C46:L46, TRANSPOSE(Σύνοψη!$J$3:$J$12))</f>
        <v>3.6602464764590579</v>
      </c>
    </row>
    <row r="47" spans="1:17">
      <c r="A47" s="7" t="s">
        <v>16</v>
      </c>
      <c r="B47" s="7" t="s">
        <v>12</v>
      </c>
      <c r="C47" s="25" cm="1">
        <f t="array" ref="C47">_xlfn.LET(
    _xlpm.g_a, INDEX(Κανονικοποίηση!B$2:B$8, MATCH($A47, {"A";"B";"Γ";"Δ";"E";"Z";"H"}, 0)),
    _xlpm.g_b, INDEX(Κανονικοποίηση!B$2:B$8,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D47" s="25" cm="1">
        <f t="array" ref="D47">_xlfn.LET(
    _xlpm.g_a, INDEX(Κανονικοποίηση!C$2:C$8, MATCH($A47, {"A";"B";"Γ";"Δ";"E";"Z";"H"}, 0)),
    _xlpm.g_b, INDEX(Κανονικοποίηση!C$2:C$8,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E47" s="25" cm="1">
        <f t="array" ref="E47">_xlfn.LET(
    _xlpm.g_a, INDEX(Κανονικοποίηση!D$2:D$8, MATCH($A47, {"A";"B";"Γ";"Δ";"E";"Z";"H"}, 0)),
    _xlpm.g_b, INDEX(Κανονικοποίηση!D$2:D$8,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F47" s="25" cm="1">
        <f t="array" ref="F47">_xlfn.LET(
    _xlpm.g_a, INDEX(Κανονικοποίηση!E$2:E$8, MATCH($A47, {"A";"B";"Γ";"Δ";"E";"Z";"H"}, 0)),
    _xlpm.g_b, INDEX(Κανονικοποίηση!E$2:E$8,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G47" s="25" cm="1">
        <f t="array" ref="G47">_xlfn.LET(
    _xlpm.g_a, INDEX(Κανονικοποίηση!F$2:F$8, MATCH($A47, {"A";"B";"Γ";"Δ";"E";"Z";"H"}, 0)),
    _xlpm.g_b, INDEX(Κανονικοποίηση!F$2:F$8,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H47" s="25" cm="1">
        <f t="array" ref="H47">_xlfn.LET(
    _xlpm.g_a, INDEX(Κανονικοποίηση!G$2:G$8, MATCH($A47, {"A";"B";"Γ";"Δ";"E";"Z";"H"}, 0)),
    _xlpm.g_b, INDEX(Κανονικοποίηση!G$2:G$8,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I47" s="25" cm="1">
        <f t="array" ref="I47">_xlfn.LET(
    _xlpm.g_a, INDEX(Κανονικοποίηση!H$2:H$8, MATCH($A47, {"A";"B";"Γ";"Δ";"E";"Z";"H"}, 0)),
    _xlpm.g_b, INDEX(Κανονικοποίηση!H$2:H$8,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J47" s="25" cm="1">
        <f t="array" ref="J47">_xlfn.LET(
    _xlpm.g_a, INDEX(Κανονικοποίηση!I$2:I$8, MATCH($A47, {"A";"B";"Γ";"Δ";"E";"Z";"H"}, 0)),
    _xlpm.g_b, INDEX(Κανονικοποίηση!I$2:I$8,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K47" s="25" cm="1">
        <f t="array" ref="K47">_xlfn.LET(
    _xlpm.g_a, INDEX(Κανονικοποίηση!J$2:J$8, MATCH($A47, {"A";"B";"Γ";"Δ";"E";"Z";"H"}, 0)),
    _xlpm.g_b, INDEX(Κανονικοποίηση!J$2:J$8,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1</v>
      </c>
      <c r="L47" s="25" cm="1">
        <f t="array" ref="L47">_xlfn.LET(
    _xlpm.g_a, INDEX(Κανονικοποίηση!K$2:K$8, MATCH($A47, {"A";"B";"Γ";"Δ";"E";"Z";"H"}, 0)),
    _xlpm.g_b, INDEX(Κανονικοποίηση!K$2:K$8, MATCH($B47, {"A";"B";"Γ";"Δ";"E";"Z";"H"}, 0)),
    _xlpm.type, "Benefit",
    _xlpm.diff, IF(OR(COLUMN()=3, COLUMN()=8, COLUMN()=9), _xlpm.g_b - _xlpm.g_a, _xlpm.g_a - _xlpm.g_b),
    _xlpm.q, ELECTRE!$R33,
    _xlpm.p, ELECTRE!$S33,
    IF(_xlpm.diff &gt;= -_xlpm.q, 1, IF(_xlpm.diff &lt;= -_xlpm.p, 0, (_xlpm.diff + _xlpm.p) / (_xlpm.p - _xlpm.q)))
)</f>
        <v>0</v>
      </c>
      <c r="M47" s="25" cm="1">
        <f t="array" ref="M47">SUMPRODUCT(C47:L47, TRANSPOSE(Βάρη!$E$2:$E$11))</f>
        <v>0.9789000000000001</v>
      </c>
      <c r="N47" s="25" cm="1">
        <f t="array" ref="N47">SUMPRODUCT(C47:L47, TRANSPOSE(Βάρη!$C$2:$C$11))</f>
        <v>0.98181818181818181</v>
      </c>
      <c r="O47" s="25" cm="1">
        <f t="array" ref="O47">SUMPRODUCT(C47:L47, TRANSPOSE(Βάρη!$D$2:$D$11))</f>
        <v>0.96585828478525959</v>
      </c>
      <c r="P47" s="25" cm="1">
        <f t="array" ref="P47">SUMPRODUCT(C47:L47, TRANSPOSE(Βάρη!$F$2:$F$11))</f>
        <v>0.98181818181818192</v>
      </c>
      <c r="Q47" s="41" cm="1">
        <f t="array" ref="Q47">SUMPRODUCT(C47:L47, TRANSPOSE(Σύνοψη!$J$3:$J$12))</f>
        <v>3.6602464764590579</v>
      </c>
    </row>
    <row r="48" spans="1:17">
      <c r="A48" s="7" t="s">
        <v>16</v>
      </c>
      <c r="B48" s="7" t="s">
        <v>13</v>
      </c>
      <c r="C48" s="25" cm="1">
        <f t="array" ref="C48">_xlfn.LET(
    _xlpm.g_a, INDEX(Κανονικοποίηση!B$2:B$8, MATCH($A48, {"A";"B";"Γ";"Δ";"E";"Z";"H"}, 0)),
    _xlpm.g_b, INDEX(Κανονικοποίηση!B$2:B$8,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D48" s="25" cm="1">
        <f t="array" ref="D48">_xlfn.LET(
    _xlpm.g_a, INDEX(Κανονικοποίηση!C$2:C$8, MATCH($A48, {"A";"B";"Γ";"Δ";"E";"Z";"H"}, 0)),
    _xlpm.g_b, INDEX(Κανονικοποίηση!C$2:C$8,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E48" s="25" cm="1">
        <f t="array" ref="E48">_xlfn.LET(
    _xlpm.g_a, INDEX(Κανονικοποίηση!D$2:D$8, MATCH($A48, {"A";"B";"Γ";"Δ";"E";"Z";"H"}, 0)),
    _xlpm.g_b, INDEX(Κανονικοποίηση!D$2:D$8,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F48" s="25" cm="1">
        <f t="array" ref="F48">_xlfn.LET(
    _xlpm.g_a, INDEX(Κανονικοποίηση!E$2:E$8, MATCH($A48, {"A";"B";"Γ";"Δ";"E";"Z";"H"}, 0)),
    _xlpm.g_b, INDEX(Κανονικοποίηση!E$2:E$8,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G48" s="25" cm="1">
        <f t="array" ref="G48">_xlfn.LET(
    _xlpm.g_a, INDEX(Κανονικοποίηση!F$2:F$8, MATCH($A48, {"A";"B";"Γ";"Δ";"E";"Z";"H"}, 0)),
    _xlpm.g_b, INDEX(Κανονικοποίηση!F$2:F$8,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H48" s="25" cm="1">
        <f t="array" ref="H48">_xlfn.LET(
    _xlpm.g_a, INDEX(Κανονικοποίηση!G$2:G$8, MATCH($A48, {"A";"B";"Γ";"Δ";"E";"Z";"H"}, 0)),
    _xlpm.g_b, INDEX(Κανονικοποίηση!G$2:G$8,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I48" s="25" cm="1">
        <f t="array" ref="I48">_xlfn.LET(
    _xlpm.g_a, INDEX(Κανονικοποίηση!H$2:H$8, MATCH($A48, {"A";"B";"Γ";"Δ";"E";"Z";"H"}, 0)),
    _xlpm.g_b, INDEX(Κανονικοποίηση!H$2:H$8,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J48" s="25" cm="1">
        <f t="array" ref="J48">_xlfn.LET(
    _xlpm.g_a, INDEX(Κανονικοποίηση!I$2:I$8, MATCH($A48, {"A";"B";"Γ";"Δ";"E";"Z";"H"}, 0)),
    _xlpm.g_b, INDEX(Κανονικοποίηση!I$2:I$8,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K48" s="25" cm="1">
        <f t="array" ref="K48">_xlfn.LET(
    _xlpm.g_a, INDEX(Κανονικοποίηση!J$2:J$8, MATCH($A48, {"A";"B";"Γ";"Δ";"E";"Z";"H"}, 0)),
    _xlpm.g_b, INDEX(Κανονικοποίηση!J$2:J$8,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1</v>
      </c>
      <c r="L48" s="25" cm="1">
        <f t="array" ref="L48">_xlfn.LET(
    _xlpm.g_a, INDEX(Κανονικοποίηση!K$2:K$8, MATCH($A48, {"A";"B";"Γ";"Δ";"E";"Z";"H"}, 0)),
    _xlpm.g_b, INDEX(Κανονικοποίηση!K$2:K$8, MATCH($B48, {"A";"B";"Γ";"Δ";"E";"Z";"H"}, 0)),
    _xlpm.type, "Benefit",
    _xlpm.diff, IF(OR(COLUMN()=3, COLUMN()=8, COLUMN()=9), _xlpm.g_b - _xlpm.g_a, _xlpm.g_a - _xlpm.g_b),
    _xlpm.q, ELECTRE!$R34,
    _xlpm.p, ELECTRE!$S34,
    IF(_xlpm.diff &gt;= -_xlpm.q, 1, IF(_xlpm.diff &lt;= -_xlpm.p, 0, (_xlpm.diff + _xlpm.p) / (_xlpm.p - _xlpm.q)))
)</f>
        <v>0</v>
      </c>
      <c r="M48" s="25" cm="1">
        <f t="array" ref="M48">SUMPRODUCT(C48:L48, TRANSPOSE(Βάρη!$E$2:$E$11))</f>
        <v>0.9789000000000001</v>
      </c>
      <c r="N48" s="25" cm="1">
        <f t="array" ref="N48">SUMPRODUCT(C48:L48, TRANSPOSE(Βάρη!$C$2:$C$11))</f>
        <v>0.98181818181818181</v>
      </c>
      <c r="O48" s="25" cm="1">
        <f t="array" ref="O48">SUMPRODUCT(C48:L48, TRANSPOSE(Βάρη!$D$2:$D$11))</f>
        <v>0.96585828478525959</v>
      </c>
      <c r="P48" s="25" cm="1">
        <f t="array" ref="P48">SUMPRODUCT(C48:L48, TRANSPOSE(Βάρη!$F$2:$F$11))</f>
        <v>0.98181818181818192</v>
      </c>
      <c r="Q48" s="41" cm="1">
        <f t="array" ref="Q48">SUMPRODUCT(C48:L48, TRANSPOSE(Σύνοψη!$J$3:$J$12))</f>
        <v>3.6602464764590579</v>
      </c>
    </row>
    <row r="49" spans="1:17">
      <c r="A49" s="7" t="s">
        <v>16</v>
      </c>
      <c r="B49" s="7" t="s">
        <v>14</v>
      </c>
      <c r="C49" s="25" cm="1">
        <f t="array" ref="C49">_xlfn.LET(
    _xlpm.g_a, INDEX(Κανονικοποίηση!B$2:B$8, MATCH($A49, {"A";"B";"Γ";"Δ";"E";"Z";"H"}, 0)),
    _xlpm.g_b, INDEX(Κανονικοποίηση!B$2:B$8,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0</v>
      </c>
      <c r="D49" s="25" cm="1">
        <f t="array" ref="D49">_xlfn.LET(
    _xlpm.g_a, INDEX(Κανονικοποίηση!C$2:C$8, MATCH($A49, {"A";"B";"Γ";"Δ";"E";"Z";"H"}, 0)),
    _xlpm.g_b, INDEX(Κανονικοποίηση!C$2:C$8,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0</v>
      </c>
      <c r="E49" s="25" cm="1">
        <f t="array" ref="E49">_xlfn.LET(
    _xlpm.g_a, INDEX(Κανονικοποίηση!D$2:D$8, MATCH($A49, {"A";"B";"Γ";"Δ";"E";"Z";"H"}, 0)),
    _xlpm.g_b, INDEX(Κανονικοποίηση!D$2:D$8,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0</v>
      </c>
      <c r="F49" s="25" cm="1">
        <f t="array" ref="F49">_xlfn.LET(
    _xlpm.g_a, INDEX(Κανονικοποίηση!E$2:E$8, MATCH($A49, {"A";"B";"Γ";"Δ";"E";"Z";"H"}, 0)),
    _xlpm.g_b, INDEX(Κανονικοποίηση!E$2:E$8,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1</v>
      </c>
      <c r="G49" s="25" cm="1">
        <f t="array" ref="G49">_xlfn.LET(
    _xlpm.g_a, INDEX(Κανονικοποίηση!F$2:F$8, MATCH($A49, {"A";"B";"Γ";"Δ";"E";"Z";"H"}, 0)),
    _xlpm.g_b, INDEX(Κανονικοποίηση!F$2:F$8,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1</v>
      </c>
      <c r="H49" s="25" cm="1">
        <f t="array" ref="H49">_xlfn.LET(
    _xlpm.g_a, INDEX(Κανονικοποίηση!G$2:G$8, MATCH($A49, {"A";"B";"Γ";"Δ";"E";"Z";"H"}, 0)),
    _xlpm.g_b, INDEX(Κανονικοποίηση!G$2:G$8,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0</v>
      </c>
      <c r="I49" s="25" cm="1">
        <f t="array" ref="I49">_xlfn.LET(
    _xlpm.g_a, INDEX(Κανονικοποίηση!H$2:H$8, MATCH($A49, {"A";"B";"Γ";"Δ";"E";"Z";"H"}, 0)),
    _xlpm.g_b, INDEX(Κανονικοποίηση!H$2:H$8,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1</v>
      </c>
      <c r="J49" s="25" cm="1">
        <f t="array" ref="J49">_xlfn.LET(
    _xlpm.g_a, INDEX(Κανονικοποίηση!I$2:I$8, MATCH($A49, {"A";"B";"Γ";"Δ";"E";"Z";"H"}, 0)),
    _xlpm.g_b, INDEX(Κανονικοποίηση!I$2:I$8,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0</v>
      </c>
      <c r="K49" s="25" cm="1">
        <f t="array" ref="K49">_xlfn.LET(
    _xlpm.g_a, INDEX(Κανονικοποίηση!J$2:J$8, MATCH($A49, {"A";"B";"Γ";"Δ";"E";"Z";"H"}, 0)),
    _xlpm.g_b, INDEX(Κανονικοποίηση!J$2:J$8,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1</v>
      </c>
      <c r="L49" s="25" cm="1">
        <f t="array" ref="L49">_xlfn.LET(
    _xlpm.g_a, INDEX(Κανονικοποίηση!K$2:K$8, MATCH($A49, {"A";"B";"Γ";"Δ";"E";"Z";"H"}, 0)),
    _xlpm.g_b, INDEX(Κανονικοποίηση!K$2:K$8, MATCH($B49, {"A";"B";"Γ";"Δ";"E";"Z";"H"}, 0)),
    _xlpm.type, "Benefit",
    _xlpm.diff, IF(OR(COLUMN()=3, COLUMN()=8, COLUMN()=9), _xlpm.g_b - _xlpm.g_a, _xlpm.g_a - _xlpm.g_b),
    _xlpm.q, ELECTRE!$R35,
    _xlpm.p, ELECTRE!$S35,
    IF(_xlpm.diff &gt;= -_xlpm.q, 1, IF(_xlpm.diff &lt;= -_xlpm.p, 0, (_xlpm.diff + _xlpm.p) / (_xlpm.p - _xlpm.q)))
)</f>
        <v>0</v>
      </c>
      <c r="M49" s="25" cm="1">
        <f t="array" ref="M49">SUMPRODUCT(C49:L49, TRANSPOSE(Βάρη!$E$2:$E$11))</f>
        <v>0.156</v>
      </c>
      <c r="N49" s="25" cm="1">
        <f t="array" ref="N49">SUMPRODUCT(C49:L49, TRANSPOSE(Βάρη!$C$2:$C$11))</f>
        <v>0.25454545454545452</v>
      </c>
      <c r="O49" s="25" cm="1">
        <f t="array" ref="O49">SUMPRODUCT(C49:L49, TRANSPOSE(Βάρη!$D$2:$D$11))</f>
        <v>0.18628912071535023</v>
      </c>
      <c r="P49" s="25" cm="1">
        <f t="array" ref="P49">SUMPRODUCT(C49:L49, TRANSPOSE(Βάρη!$F$2:$F$11))</f>
        <v>0.34545454545454546</v>
      </c>
      <c r="Q49" s="41" cm="1">
        <f t="array" ref="Q49">SUMPRODUCT(C49:L49, TRANSPOSE(Σύνοψη!$J$3:$J$12))</f>
        <v>1.4406218292635755</v>
      </c>
    </row>
    <row r="50" spans="1:17">
      <c r="A50" s="7" t="s">
        <v>16</v>
      </c>
      <c r="B50" s="7" t="s">
        <v>15</v>
      </c>
      <c r="C50" s="25" cm="1">
        <f t="array" ref="C50">_xlfn.LET(
    _xlpm.g_a, INDEX(Κανονικοποίηση!B$2:B$8, MATCH($A50, {"A";"B";"Γ";"Δ";"E";"Z";"H"}, 0)),
    _xlpm.g_b, INDEX(Κανονικοποίηση!B$2:B$8,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D50" s="25" cm="1">
        <f t="array" ref="D50">_xlfn.LET(
    _xlpm.g_a, INDEX(Κανονικοποίηση!C$2:C$8, MATCH($A50, {"A";"B";"Γ";"Δ";"E";"Z";"H"}, 0)),
    _xlpm.g_b, INDEX(Κανονικοποίηση!C$2:C$8,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E50" s="25" cm="1">
        <f t="array" ref="E50">_xlfn.LET(
    _xlpm.g_a, INDEX(Κανονικοποίηση!D$2:D$8, MATCH($A50, {"A";"B";"Γ";"Δ";"E";"Z";"H"}, 0)),
    _xlpm.g_b, INDEX(Κανονικοποίηση!D$2:D$8,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F50" s="25" cm="1">
        <f t="array" ref="F50">_xlfn.LET(
    _xlpm.g_a, INDEX(Κανονικοποίηση!E$2:E$8, MATCH($A50, {"A";"B";"Γ";"Δ";"E";"Z";"H"}, 0)),
    _xlpm.g_b, INDEX(Κανονικοποίηση!E$2:E$8,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G50" s="25" cm="1">
        <f t="array" ref="G50">_xlfn.LET(
    _xlpm.g_a, INDEX(Κανονικοποίηση!F$2:F$8, MATCH($A50, {"A";"B";"Γ";"Δ";"E";"Z";"H"}, 0)),
    _xlpm.g_b, INDEX(Κανονικοποίηση!F$2:F$8,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H50" s="25" cm="1">
        <f t="array" ref="H50">_xlfn.LET(
    _xlpm.g_a, INDEX(Κανονικοποίηση!G$2:G$8, MATCH($A50, {"A";"B";"Γ";"Δ";"E";"Z";"H"}, 0)),
    _xlpm.g_b, INDEX(Κανονικοποίηση!G$2:G$8,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I50" s="25" cm="1">
        <f t="array" ref="I50">_xlfn.LET(
    _xlpm.g_a, INDEX(Κανονικοποίηση!H$2:H$8, MATCH($A50, {"A";"B";"Γ";"Δ";"E";"Z";"H"}, 0)),
    _xlpm.g_b, INDEX(Κανονικοποίηση!H$2:H$8,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J50" s="25" cm="1">
        <f t="array" ref="J50">_xlfn.LET(
    _xlpm.g_a, INDEX(Κανονικοποίηση!I$2:I$8, MATCH($A50, {"A";"B";"Γ";"Δ";"E";"Z";"H"}, 0)),
    _xlpm.g_b, INDEX(Κανονικοποίηση!I$2:I$8,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K50" s="25" cm="1">
        <f t="array" ref="K50">_xlfn.LET(
    _xlpm.g_a, INDEX(Κανονικοποίηση!J$2:J$8, MATCH($A50, {"A";"B";"Γ";"Δ";"E";"Z";"H"}, 0)),
    _xlpm.g_b, INDEX(Κανονικοποίηση!J$2:J$8,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L50" s="25" cm="1">
        <f t="array" ref="L50">_xlfn.LET(
    _xlpm.g_a, INDEX(Κανονικοποίηση!K$2:K$8, MATCH($A50, {"A";"B";"Γ";"Δ";"E";"Z";"H"}, 0)),
    _xlpm.g_b, INDEX(Κανονικοποίηση!K$2:K$8, MATCH($B50, {"A";"B";"Γ";"Δ";"E";"Z";"H"}, 0)),
    _xlpm.type, "Benefit",
    _xlpm.diff, IF(OR(COLUMN()=3, COLUMN()=8, COLUMN()=9), _xlpm.g_b - _xlpm.g_a, _xlpm.g_a - _xlpm.g_b),
    _xlpm.q, ELECTRE!$R36,
    _xlpm.p, ELECTRE!$S36,
    IF(_xlpm.diff &gt;= -_xlpm.q, 1, IF(_xlpm.diff &lt;= -_xlpm.p, 0, (_xlpm.diff + _xlpm.p) / (_xlpm.p - _xlpm.q)))
)</f>
        <v>1</v>
      </c>
      <c r="M50" s="25" cm="1">
        <f t="array" ref="M50">SUMPRODUCT(C50:L50, TRANSPOSE(Βάρη!$E$2:$E$11))</f>
        <v>1</v>
      </c>
      <c r="N50" s="25" cm="1">
        <f t="array" ref="N50">SUMPRODUCT(C50:L50, TRANSPOSE(Βάρη!$C$2:$C$11))</f>
        <v>1</v>
      </c>
      <c r="O50" s="25" cm="1">
        <f t="array" ref="O50">SUMPRODUCT(C50:L50, TRANSPOSE(Βάρη!$D$2:$D$11))</f>
        <v>1.0000000000000002</v>
      </c>
      <c r="P50" s="25" cm="1">
        <f t="array" ref="P50">SUMPRODUCT(C50:L50, TRANSPOSE(Βάρη!$F$2:$F$11))</f>
        <v>1</v>
      </c>
      <c r="Q50" s="41" cm="1">
        <f t="array" ref="Q50">SUMPRODUCT(C50:L50, TRANSPOSE(Σύνοψη!$J$3:$J$12))</f>
        <v>3.6602464764590579</v>
      </c>
    </row>
    <row r="51" spans="1:17">
      <c r="A51" s="7" t="s">
        <v>16</v>
      </c>
      <c r="B51" s="7" t="s">
        <v>17</v>
      </c>
      <c r="C51" s="25" cm="1">
        <f t="array" ref="C51">_xlfn.LET(
    _xlpm.g_a, INDEX(Κανονικοποίηση!B$2:B$8, MATCH($A51, {"A";"B";"Γ";"Δ";"E";"Z";"H"}, 0)),
    _xlpm.g_b, INDEX(Κανονικοποίηση!B$2:B$8,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D51" s="25" cm="1">
        <f t="array" ref="D51">_xlfn.LET(
    _xlpm.g_a, INDEX(Κανονικοποίηση!C$2:C$8, MATCH($A51, {"A";"B";"Γ";"Δ";"E";"Z";"H"}, 0)),
    _xlpm.g_b, INDEX(Κανονικοποίηση!C$2:C$8,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E51" s="25" cm="1">
        <f t="array" ref="E51">_xlfn.LET(
    _xlpm.g_a, INDEX(Κανονικοποίηση!D$2:D$8, MATCH($A51, {"A";"B";"Γ";"Δ";"E";"Z";"H"}, 0)),
    _xlpm.g_b, INDEX(Κανονικοποίηση!D$2:D$8,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F51" s="25" cm="1">
        <f t="array" ref="F51">_xlfn.LET(
    _xlpm.g_a, INDEX(Κανονικοποίηση!E$2:E$8, MATCH($A51, {"A";"B";"Γ";"Δ";"E";"Z";"H"}, 0)),
    _xlpm.g_b, INDEX(Κανονικοποίηση!E$2:E$8,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G51" s="25" cm="1">
        <f t="array" ref="G51">_xlfn.LET(
    _xlpm.g_a, INDEX(Κανονικοποίηση!F$2:F$8, MATCH($A51, {"A";"B";"Γ";"Δ";"E";"Z";"H"}, 0)),
    _xlpm.g_b, INDEX(Κανονικοποίηση!F$2:F$8,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H51" s="25" cm="1">
        <f t="array" ref="H51">_xlfn.LET(
    _xlpm.g_a, INDEX(Κανονικοποίηση!G$2:G$8, MATCH($A51, {"A";"B";"Γ";"Δ";"E";"Z";"H"}, 0)),
    _xlpm.g_b, INDEX(Κανονικοποίηση!G$2:G$8,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I51" s="25" cm="1">
        <f t="array" ref="I51">_xlfn.LET(
    _xlpm.g_a, INDEX(Κανονικοποίηση!H$2:H$8, MATCH($A51, {"A";"B";"Γ";"Δ";"E";"Z";"H"}, 0)),
    _xlpm.g_b, INDEX(Κανονικοποίηση!H$2:H$8,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J51" s="25" cm="1">
        <f t="array" ref="J51">_xlfn.LET(
    _xlpm.g_a, INDEX(Κανονικοποίηση!I$2:I$8, MATCH($A51, {"A";"B";"Γ";"Δ";"E";"Z";"H"}, 0)),
    _xlpm.g_b, INDEX(Κανονικοποίηση!I$2:I$8,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K51" s="25" cm="1">
        <f t="array" ref="K51">_xlfn.LET(
    _xlpm.g_a, INDEX(Κανονικοποίηση!J$2:J$8, MATCH($A51, {"A";"B";"Γ";"Δ";"E";"Z";"H"}, 0)),
    _xlpm.g_b, INDEX(Κανονικοποίηση!J$2:J$8,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L51" s="25" cm="1">
        <f t="array" ref="L51">_xlfn.LET(
    _xlpm.g_a, INDEX(Κανονικοποίηση!K$2:K$8, MATCH($A51, {"A";"B";"Γ";"Δ";"E";"Z";"H"}, 0)),
    _xlpm.g_b, INDEX(Κανονικοποίηση!K$2:K$8, MATCH($B51, {"A";"B";"Γ";"Δ";"E";"Z";"H"}, 0)),
    _xlpm.type, "Benefit",
    _xlpm.diff, IF(OR(COLUMN()=3, COLUMN()=8, COLUMN()=9), _xlpm.g_b - _xlpm.g_a, _xlpm.g_a - _xlpm.g_b),
    _xlpm.q, ELECTRE!$R37,
    _xlpm.p, ELECTRE!$S37,
    IF(_xlpm.diff &gt;= -_xlpm.q, 1, IF(_xlpm.diff &lt;= -_xlpm.p, 0, (_xlpm.diff + _xlpm.p) / (_xlpm.p - _xlpm.q)))
)</f>
        <v>1</v>
      </c>
      <c r="M51" s="25" cm="1">
        <f t="array" ref="M51">SUMPRODUCT(C51:L51, TRANSPOSE(Βάρη!$E$2:$E$11))</f>
        <v>1</v>
      </c>
      <c r="N51" s="25" cm="1">
        <f t="array" ref="N51">SUMPRODUCT(C51:L51, TRANSPOSE(Βάρη!$C$2:$C$11))</f>
        <v>1</v>
      </c>
      <c r="O51" s="25" cm="1">
        <f t="array" ref="O51">SUMPRODUCT(C51:L51, TRANSPOSE(Βάρη!$D$2:$D$11))</f>
        <v>1.0000000000000002</v>
      </c>
      <c r="P51" s="25" cm="1">
        <f t="array" ref="P51">SUMPRODUCT(C51:L51, TRANSPOSE(Βάρη!$F$2:$F$11))</f>
        <v>1</v>
      </c>
      <c r="Q51" s="41" cm="1">
        <f t="array" ref="Q51">SUMPRODUCT(C51:L51, TRANSPOSE(Σύνοψη!$J$3:$J$12))</f>
        <v>3.6602464764590579</v>
      </c>
    </row>
    <row r="52" spans="1:17">
      <c r="A52" s="7" t="s">
        <v>17</v>
      </c>
      <c r="B52" s="7" t="s">
        <v>11</v>
      </c>
      <c r="C52" s="25" cm="1">
        <f t="array" ref="C52">_xlfn.LET(
    _xlpm.g_a, INDEX(Κανονικοποίηση!B$2:B$8, MATCH($A52, {"A";"B";"Γ";"Δ";"E";"Z";"H"}, 0)),
    _xlpm.g_b, INDEX(Κανονικοποίηση!B$2:B$8,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D52" s="25" cm="1">
        <f t="array" ref="D52">_xlfn.LET(
    _xlpm.g_a, INDEX(Κανονικοποίηση!C$2:C$8, MATCH($A52, {"A";"B";"Γ";"Δ";"E";"Z";"H"}, 0)),
    _xlpm.g_b, INDEX(Κανονικοποίηση!C$2:C$8,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E52" s="25" cm="1">
        <f t="array" ref="E52">_xlfn.LET(
    _xlpm.g_a, INDEX(Κανονικοποίηση!D$2:D$8, MATCH($A52, {"A";"B";"Γ";"Δ";"E";"Z";"H"}, 0)),
    _xlpm.g_b, INDEX(Κανονικοποίηση!D$2:D$8,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F52" s="25" cm="1">
        <f t="array" ref="F52">_xlfn.LET(
    _xlpm.g_a, INDEX(Κανονικοποίηση!E$2:E$8, MATCH($A52, {"A";"B";"Γ";"Δ";"E";"Z";"H"}, 0)),
    _xlpm.g_b, INDEX(Κανονικοποίηση!E$2:E$8,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G52" s="25" cm="1">
        <f t="array" ref="G52">_xlfn.LET(
    _xlpm.g_a, INDEX(Κανονικοποίηση!F$2:F$8, MATCH($A52, {"A";"B";"Γ";"Δ";"E";"Z";"H"}, 0)),
    _xlpm.g_b, INDEX(Κανονικοποίηση!F$2:F$8,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1</v>
      </c>
      <c r="H52" s="25" cm="1">
        <f t="array" ref="H52">_xlfn.LET(
    _xlpm.g_a, INDEX(Κανονικοποίηση!G$2:G$8, MATCH($A52, {"A";"B";"Γ";"Δ";"E";"Z";"H"}, 0)),
    _xlpm.g_b, INDEX(Κανονικοποίηση!G$2:G$8,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I52" s="25" cm="1">
        <f t="array" ref="I52">_xlfn.LET(
    _xlpm.g_a, INDEX(Κανονικοποίηση!H$2:H$8, MATCH($A52, {"A";"B";"Γ";"Δ";"E";"Z";"H"}, 0)),
    _xlpm.g_b, INDEX(Κανονικοποίηση!H$2:H$8,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J52" s="25" cm="1">
        <f t="array" ref="J52">_xlfn.LET(
    _xlpm.g_a, INDEX(Κανονικοποίηση!I$2:I$8, MATCH($A52, {"A";"B";"Γ";"Δ";"E";"Z";"H"}, 0)),
    _xlpm.g_b, INDEX(Κανονικοποίηση!I$2:I$8,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K52" s="25" cm="1">
        <f t="array" ref="K52">_xlfn.LET(
    _xlpm.g_a, INDEX(Κανονικοποίηση!J$2:J$8, MATCH($A52, {"A";"B";"Γ";"Δ";"E";"Z";"H"}, 0)),
    _xlpm.g_b, INDEX(Κανονικοποίηση!J$2:J$8,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L52" s="25" cm="1">
        <f t="array" ref="L52">_xlfn.LET(
    _xlpm.g_a, INDEX(Κανονικοποίηση!K$2:K$8, MATCH($A52, {"A";"B";"Γ";"Δ";"E";"Z";"H"}, 0)),
    _xlpm.g_b, INDEX(Κανονικοποίηση!K$2:K$8, MATCH($B52, {"A";"B";"Γ";"Δ";"E";"Z";"H"}, 0)),
    _xlpm.type, "Benefit",
    _xlpm.diff, IF(OR(COLUMN()=3, COLUMN()=8, COLUMN()=9), _xlpm.g_b - _xlpm.g_a, _xlpm.g_a - _xlpm.g_b),
    _xlpm.q, ELECTRE!$R38,
    _xlpm.p, ELECTRE!$S38,
    IF(_xlpm.diff &gt;= -_xlpm.q, 1, IF(_xlpm.diff &lt;= -_xlpm.p, 0, (_xlpm.diff + _xlpm.p) / (_xlpm.p - _xlpm.q)))
)</f>
        <v>0</v>
      </c>
      <c r="M52" s="25" cm="1">
        <f t="array" ref="M52">SUMPRODUCT(C52:L52, TRANSPOSE(Βάρη!$E$2:$E$11))</f>
        <v>6.4600000000000005E-2</v>
      </c>
      <c r="N52" s="25" cm="1">
        <f t="array" ref="N52">SUMPRODUCT(C52:L52, TRANSPOSE(Βάρη!$C$2:$C$11))</f>
        <v>9.0909090909090912E-2</v>
      </c>
      <c r="O52" s="25" cm="1">
        <f t="array" ref="O52">SUMPRODUCT(C52:L52, TRANSPOSE(Βάρη!$D$2:$D$11))</f>
        <v>5.6902858691234251E-2</v>
      </c>
      <c r="P52" s="25" cm="1">
        <f t="array" ref="P52">SUMPRODUCT(C52:L52, TRANSPOSE(Βάρη!$F$2:$F$11))</f>
        <v>0.10909090909090909</v>
      </c>
      <c r="Q52" s="41" cm="1">
        <f t="array" ref="Q52">SUMPRODUCT(C52:L52, TRANSPOSE(Σύνοψη!$J$3:$J$12))</f>
        <v>0.36883840646011801</v>
      </c>
    </row>
    <row r="53" spans="1:17">
      <c r="A53" s="7" t="s">
        <v>17</v>
      </c>
      <c r="B53" s="7" t="s">
        <v>12</v>
      </c>
      <c r="C53" s="25" cm="1">
        <f t="array" ref="C53">_xlfn.LET(
    _xlpm.g_a, INDEX(Κανονικοποίηση!B$2:B$8, MATCH($A53, {"A";"B";"Γ";"Δ";"E";"Z";"H"}, 0)),
    _xlpm.g_b, INDEX(Κανονικοποίηση!B$2:B$8,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0</v>
      </c>
      <c r="D53" s="25" cm="1">
        <f t="array" ref="D53">_xlfn.LET(
    _xlpm.g_a, INDEX(Κανονικοποίηση!C$2:C$8, MATCH($A53, {"A";"B";"Γ";"Δ";"E";"Z";"H"}, 0)),
    _xlpm.g_b, INDEX(Κανονικοποίηση!C$2:C$8,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0</v>
      </c>
      <c r="E53" s="25" cm="1">
        <f t="array" ref="E53">_xlfn.LET(
    _xlpm.g_a, INDEX(Κανονικοποίηση!D$2:D$8, MATCH($A53, {"A";"B";"Γ";"Δ";"E";"Z";"H"}, 0)),
    _xlpm.g_b, INDEX(Κανονικοποίηση!D$2:D$8,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1</v>
      </c>
      <c r="F53" s="25" cm="1">
        <f t="array" ref="F53">_xlfn.LET(
    _xlpm.g_a, INDEX(Κανονικοποίηση!E$2:E$8, MATCH($A53, {"A";"B";"Γ";"Δ";"E";"Z";"H"}, 0)),
    _xlpm.g_b, INDEX(Κανονικοποίηση!E$2:E$8,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0</v>
      </c>
      <c r="G53" s="25" cm="1">
        <f t="array" ref="G53">_xlfn.LET(
    _xlpm.g_a, INDEX(Κανονικοποίηση!F$2:F$8, MATCH($A53, {"A";"B";"Γ";"Δ";"E";"Z";"H"}, 0)),
    _xlpm.g_b, INDEX(Κανονικοποίηση!F$2:F$8,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1</v>
      </c>
      <c r="H53" s="25" cm="1">
        <f t="array" ref="H53">_xlfn.LET(
    _xlpm.g_a, INDEX(Κανονικοποίηση!G$2:G$8, MATCH($A53, {"A";"B";"Γ";"Δ";"E";"Z";"H"}, 0)),
    _xlpm.g_b, INDEX(Κανονικοποίηση!G$2:G$8,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0</v>
      </c>
      <c r="I53" s="25" cm="1">
        <f t="array" ref="I53">_xlfn.LET(
    _xlpm.g_a, INDEX(Κανονικοποίηση!H$2:H$8, MATCH($A53, {"A";"B";"Γ";"Δ";"E";"Z";"H"}, 0)),
    _xlpm.g_b, INDEX(Κανονικοποίηση!H$2:H$8,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1</v>
      </c>
      <c r="J53" s="25" cm="1">
        <f t="array" ref="J53">_xlfn.LET(
    _xlpm.g_a, INDEX(Κανονικοποίηση!I$2:I$8, MATCH($A53, {"A";"B";"Γ";"Δ";"E";"Z";"H"}, 0)),
    _xlpm.g_b, INDEX(Κανονικοποίηση!I$2:I$8,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0</v>
      </c>
      <c r="K53" s="25" cm="1">
        <f t="array" ref="K53">_xlfn.LET(
    _xlpm.g_a, INDEX(Κανονικοποίηση!J$2:J$8, MATCH($A53, {"A";"B";"Γ";"Δ";"E";"Z";"H"}, 0)),
    _xlpm.g_b, INDEX(Κανονικοποίηση!J$2:J$8,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0</v>
      </c>
      <c r="L53" s="25" cm="1">
        <f t="array" ref="L53">_xlfn.LET(
    _xlpm.g_a, INDEX(Κανονικοποίηση!K$2:K$8, MATCH($A53, {"A";"B";"Γ";"Δ";"E";"Z";"H"}, 0)),
    _xlpm.g_b, INDEX(Κανονικοποίηση!K$2:K$8, MATCH($B53, {"A";"B";"Γ";"Δ";"E";"Z";"H"}, 0)),
    _xlpm.type, "Benefit",
    _xlpm.diff, IF(OR(COLUMN()=3, COLUMN()=8, COLUMN()=9), _xlpm.g_b - _xlpm.g_a, _xlpm.g_a - _xlpm.g_b),
    _xlpm.q, ELECTRE!$R39,
    _xlpm.p, ELECTRE!$S39,
    IF(_xlpm.diff &gt;= -_xlpm.q, 1, IF(_xlpm.diff &lt;= -_xlpm.p, 0, (_xlpm.diff + _xlpm.p) / (_xlpm.p - _xlpm.q)))
)</f>
        <v>0</v>
      </c>
      <c r="M53" s="25" cm="1">
        <f t="array" ref="M53">SUMPRODUCT(C53:L53, TRANSPOSE(Βάρη!$E$2:$E$11))</f>
        <v>0.24110000000000001</v>
      </c>
      <c r="N53" s="25" cm="1">
        <f t="array" ref="N53">SUMPRODUCT(C53:L53, TRANSPOSE(Βάρη!$C$2:$C$11))</f>
        <v>0.29090909090909089</v>
      </c>
      <c r="O53" s="25" cm="1">
        <f t="array" ref="O53">SUMPRODUCT(C53:L53, TRANSPOSE(Βάρη!$D$2:$D$11))</f>
        <v>0.21338572009212847</v>
      </c>
      <c r="P53" s="25" cm="1">
        <f t="array" ref="P53">SUMPRODUCT(C53:L53, TRANSPOSE(Βάρη!$F$2:$F$11))</f>
        <v>0.32727272727272727</v>
      </c>
      <c r="Q53" s="41" cm="1">
        <f t="array" ref="Q53">SUMPRODUCT(C53:L53, TRANSPOSE(Σύνοψη!$J$3:$J$12))</f>
        <v>1.3984616955278157</v>
      </c>
    </row>
    <row r="54" spans="1:17">
      <c r="A54" s="7" t="s">
        <v>17</v>
      </c>
      <c r="B54" s="7" t="s">
        <v>13</v>
      </c>
      <c r="C54" s="25" cm="1">
        <f t="array" ref="C54">_xlfn.LET(
    _xlpm.g_a, INDEX(Κανονικοποίηση!B$2:B$8, MATCH($A54, {"A";"B";"Γ";"Δ";"E";"Z";"H"}, 0)),
    _xlpm.g_b, INDEX(Κανονικοποίηση!B$2:B$8,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D54" s="25" cm="1">
        <f t="array" ref="D54">_xlfn.LET(
    _xlpm.g_a, INDEX(Κανονικοποίηση!C$2:C$8, MATCH($A54, {"A";"B";"Γ";"Δ";"E";"Z";"H"}, 0)),
    _xlpm.g_b, INDEX(Κανονικοποίηση!C$2:C$8,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E54" s="25" cm="1">
        <f t="array" ref="E54">_xlfn.LET(
    _xlpm.g_a, INDEX(Κανονικοποίηση!D$2:D$8, MATCH($A54, {"A";"B";"Γ";"Δ";"E";"Z";"H"}, 0)),
    _xlpm.g_b, INDEX(Κανονικοποίηση!D$2:D$8,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F54" s="25" cm="1">
        <f t="array" ref="F54">_xlfn.LET(
    _xlpm.g_a, INDEX(Κανονικοποίηση!E$2:E$8, MATCH($A54, {"A";"B";"Γ";"Δ";"E";"Z";"H"}, 0)),
    _xlpm.g_b, INDEX(Κανονικοποίηση!E$2:E$8,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1</v>
      </c>
      <c r="G54" s="25" cm="1">
        <f t="array" ref="G54">_xlfn.LET(
    _xlpm.g_a, INDEX(Κανονικοποίηση!F$2:F$8, MATCH($A54, {"A";"B";"Γ";"Δ";"E";"Z";"H"}, 0)),
    _xlpm.g_b, INDEX(Κανονικοποίηση!F$2:F$8,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H54" s="25" cm="1">
        <f t="array" ref="H54">_xlfn.LET(
    _xlpm.g_a, INDEX(Κανονικοποίηση!G$2:G$8, MATCH($A54, {"A";"B";"Γ";"Δ";"E";"Z";"H"}, 0)),
    _xlpm.g_b, INDEX(Κανονικοποίηση!G$2:G$8,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I54" s="25" cm="1">
        <f t="array" ref="I54">_xlfn.LET(
    _xlpm.g_a, INDEX(Κανονικοποίηση!H$2:H$8, MATCH($A54, {"A";"B";"Γ";"Δ";"E";"Z";"H"}, 0)),
    _xlpm.g_b, INDEX(Κανονικοποίηση!H$2:H$8,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J54" s="25" cm="1">
        <f t="array" ref="J54">_xlfn.LET(
    _xlpm.g_a, INDEX(Κανονικοποίηση!I$2:I$8, MATCH($A54, {"A";"B";"Γ";"Δ";"E";"Z";"H"}, 0)),
    _xlpm.g_b, INDEX(Κανονικοποίηση!I$2:I$8,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1</v>
      </c>
      <c r="K54" s="25" cm="1">
        <f t="array" ref="K54">_xlfn.LET(
    _xlpm.g_a, INDEX(Κανονικοποίηση!J$2:J$8, MATCH($A54, {"A";"B";"Γ";"Δ";"E";"Z";"H"}, 0)),
    _xlpm.g_b, INDEX(Κανονικοποίηση!J$2:J$8,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L54" s="25" cm="1">
        <f t="array" ref="L54">_xlfn.LET(
    _xlpm.g_a, INDEX(Κανονικοποίηση!K$2:K$8, MATCH($A54, {"A";"B";"Γ";"Δ";"E";"Z";"H"}, 0)),
    _xlpm.g_b, INDEX(Κανονικοποίηση!K$2:K$8, MATCH($B54, {"A";"B";"Γ";"Δ";"E";"Z";"H"}, 0)),
    _xlpm.type, "Benefit",
    _xlpm.diff, IF(OR(COLUMN()=3, COLUMN()=8, COLUMN()=9), _xlpm.g_b - _xlpm.g_a, _xlpm.g_a - _xlpm.g_b),
    _xlpm.q, ELECTRE!$R40,
    _xlpm.p, ELECTRE!$S40,
    IF(_xlpm.diff &gt;= -_xlpm.q, 1, IF(_xlpm.diff &lt;= -_xlpm.p, 0, (_xlpm.diff + _xlpm.p) / (_xlpm.p - _xlpm.q)))
)</f>
        <v>0</v>
      </c>
      <c r="M54" s="25" cm="1">
        <f t="array" ref="M54">SUMPRODUCT(C54:L54, TRANSPOSE(Βάρη!$E$2:$E$11))</f>
        <v>0.13250000000000001</v>
      </c>
      <c r="N54" s="25" cm="1">
        <f t="array" ref="N54">SUMPRODUCT(C54:L54, TRANSPOSE(Βάρη!$C$2:$C$11))</f>
        <v>0.18181818181818182</v>
      </c>
      <c r="O54" s="25" cm="1">
        <f t="array" ref="O54">SUMPRODUCT(C54:L54, TRANSPOSE(Βάρη!$D$2:$D$11))</f>
        <v>0.11705730930768191</v>
      </c>
      <c r="P54" s="25" cm="1">
        <f t="array" ref="P54">SUMPRODUCT(C54:L54, TRANSPOSE(Βάρη!$F$2:$F$11))</f>
        <v>0.1818181818181818</v>
      </c>
      <c r="Q54" s="41" cm="1">
        <f t="array" ref="Q54">SUMPRODUCT(C54:L54, TRANSPOSE(Σύνοψη!$J$3:$J$12))</f>
        <v>0.64319125274830358</v>
      </c>
    </row>
    <row r="55" spans="1:17">
      <c r="A55" s="7" t="s">
        <v>17</v>
      </c>
      <c r="B55" s="7" t="s">
        <v>14</v>
      </c>
      <c r="C55" s="25" cm="1">
        <f t="array" ref="C55">_xlfn.LET(
    _xlpm.g_a, INDEX(Κανονικοποίηση!B$2:B$8, MATCH($A55, {"A";"B";"Γ";"Δ";"E";"Z";"H"}, 0)),
    _xlpm.g_b, INDEX(Κανονικοποίηση!B$2:B$8,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D55" s="25" cm="1">
        <f t="array" ref="D55">_xlfn.LET(
    _xlpm.g_a, INDEX(Κανονικοποίηση!C$2:C$8, MATCH($A55, {"A";"B";"Γ";"Δ";"E";"Z";"H"}, 0)),
    _xlpm.g_b, INDEX(Κανονικοποίηση!C$2:C$8,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E55" s="25" cm="1">
        <f t="array" ref="E55">_xlfn.LET(
    _xlpm.g_a, INDEX(Κανονικοποίηση!D$2:D$8, MATCH($A55, {"A";"B";"Γ";"Δ";"E";"Z";"H"}, 0)),
    _xlpm.g_b, INDEX(Κανονικοποίηση!D$2:D$8,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F55" s="25" cm="1">
        <f t="array" ref="F55">_xlfn.LET(
    _xlpm.g_a, INDEX(Κανονικοποίηση!E$2:E$8, MATCH($A55, {"A";"B";"Γ";"Δ";"E";"Z";"H"}, 0)),
    _xlpm.g_b, INDEX(Κανονικοποίηση!E$2:E$8,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G55" s="25" cm="1">
        <f t="array" ref="G55">_xlfn.LET(
    _xlpm.g_a, INDEX(Κανονικοποίηση!F$2:F$8, MATCH($A55, {"A";"B";"Γ";"Δ";"E";"Z";"H"}, 0)),
    _xlpm.g_b, INDEX(Κανονικοποίηση!F$2:F$8,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H55" s="25" cm="1">
        <f t="array" ref="H55">_xlfn.LET(
    _xlpm.g_a, INDEX(Κανονικοποίηση!G$2:G$8, MATCH($A55, {"A";"B";"Γ";"Δ";"E";"Z";"H"}, 0)),
    _xlpm.g_b, INDEX(Κανονικοποίηση!G$2:G$8,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I55" s="25" cm="1">
        <f t="array" ref="I55">_xlfn.LET(
    _xlpm.g_a, INDEX(Κανονικοποίηση!H$2:H$8, MATCH($A55, {"A";"B";"Γ";"Δ";"E";"Z";"H"}, 0)),
    _xlpm.g_b, INDEX(Κανονικοποίηση!H$2:H$8,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J55" s="25" cm="1">
        <f t="array" ref="J55">_xlfn.LET(
    _xlpm.g_a, INDEX(Κανονικοποίηση!I$2:I$8, MATCH($A55, {"A";"B";"Γ";"Δ";"E";"Z";"H"}, 0)),
    _xlpm.g_b, INDEX(Κανονικοποίηση!I$2:I$8,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K55" s="25" cm="1">
        <f t="array" ref="K55">_xlfn.LET(
    _xlpm.g_a, INDEX(Κανονικοποίηση!J$2:J$8, MATCH($A55, {"A";"B";"Γ";"Δ";"E";"Z";"H"}, 0)),
    _xlpm.g_b, INDEX(Κανονικοποίηση!J$2:J$8,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1</v>
      </c>
      <c r="L55" s="25" cm="1">
        <f t="array" ref="L55">_xlfn.LET(
    _xlpm.g_a, INDEX(Κανονικοποίηση!K$2:K$8, MATCH($A55, {"A";"B";"Γ";"Δ";"E";"Z";"H"}, 0)),
    _xlpm.g_b, INDEX(Κανονικοποίηση!K$2:K$8, MATCH($B55, {"A";"B";"Γ";"Δ";"E";"Z";"H"}, 0)),
    _xlpm.type, "Benefit",
    _xlpm.diff, IF(OR(COLUMN()=3, COLUMN()=8, COLUMN()=9), _xlpm.g_b - _xlpm.g_a, _xlpm.g_a - _xlpm.g_b),
    _xlpm.q, ELECTRE!$R41,
    _xlpm.p, ELECTRE!$S41,
    IF(_xlpm.diff &gt;= -_xlpm.q, 1, IF(_xlpm.diff &lt;= -_xlpm.p, 0, (_xlpm.diff + _xlpm.p) / (_xlpm.p - _xlpm.q)))
)</f>
        <v>0</v>
      </c>
      <c r="M55" s="25" cm="1">
        <f t="array" ref="M55">SUMPRODUCT(C55:L55, TRANSPOSE(Βάρη!$E$2:$E$11))</f>
        <v>9.9000000000000008E-3</v>
      </c>
      <c r="N55" s="25" cm="1">
        <f t="array" ref="N55">SUMPRODUCT(C55:L55, TRANSPOSE(Βάρη!$C$2:$C$11))</f>
        <v>3.6363636363636362E-2</v>
      </c>
      <c r="O55" s="25" cm="1">
        <f t="array" ref="O55">SUMPRODUCT(C55:L55, TRANSPOSE(Βάρη!$D$2:$D$11))</f>
        <v>3.7935239127489501E-2</v>
      </c>
      <c r="P55" s="25" cm="1">
        <f t="array" ref="P55">SUMPRODUCT(C55:L55, TRANSPOSE(Βάρη!$F$2:$F$11))</f>
        <v>3.6363636363636362E-2</v>
      </c>
      <c r="Q55" s="41" cm="1">
        <f t="array" ref="Q55">SUMPRODUCT(C55:L55, TRANSPOSE(Σύνοψη!$J$3:$J$12))</f>
        <v>0</v>
      </c>
    </row>
    <row r="56" spans="1:17">
      <c r="A56" s="7" t="s">
        <v>17</v>
      </c>
      <c r="B56" s="7" t="s">
        <v>15</v>
      </c>
      <c r="C56" s="25" cm="1">
        <f t="array" ref="C56">_xlfn.LET(
    _xlpm.g_a, INDEX(Κανονικοποίηση!B$2:B$8, MATCH($A56, {"A";"B";"Γ";"Δ";"E";"Z";"H"}, 0)),
    _xlpm.g_b, INDEX(Κανονικοποίηση!B$2:B$8,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D56" s="25" cm="1">
        <f t="array" ref="D56">_xlfn.LET(
    _xlpm.g_a, INDEX(Κανονικοποίηση!C$2:C$8, MATCH($A56, {"A";"B";"Γ";"Δ";"E";"Z";"H"}, 0)),
    _xlpm.g_b, INDEX(Κανονικοποίηση!C$2:C$8,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E56" s="25" cm="1">
        <f t="array" ref="E56">_xlfn.LET(
    _xlpm.g_a, INDEX(Κανονικοποίηση!D$2:D$8, MATCH($A56, {"A";"B";"Γ";"Δ";"E";"Z";"H"}, 0)),
    _xlpm.g_b, INDEX(Κανονικοποίηση!D$2:D$8,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F56" s="25" cm="1">
        <f t="array" ref="F56">_xlfn.LET(
    _xlpm.g_a, INDEX(Κανονικοποίηση!E$2:E$8, MATCH($A56, {"A";"B";"Γ";"Δ";"E";"Z";"H"}, 0)),
    _xlpm.g_b, INDEX(Κανονικοποίηση!E$2:E$8,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G56" s="25" cm="1">
        <f t="array" ref="G56">_xlfn.LET(
    _xlpm.g_a, INDEX(Κανονικοποίηση!F$2:F$8, MATCH($A56, {"A";"B";"Γ";"Δ";"E";"Z";"H"}, 0)),
    _xlpm.g_b, INDEX(Κανονικοποίηση!F$2:F$8,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H56" s="25" cm="1">
        <f t="array" ref="H56">_xlfn.LET(
    _xlpm.g_a, INDEX(Κανονικοποίηση!G$2:G$8, MATCH($A56, {"A";"B";"Γ";"Δ";"E";"Z";"H"}, 0)),
    _xlpm.g_b, INDEX(Κανονικοποίηση!G$2:G$8,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I56" s="25" cm="1">
        <f t="array" ref="I56">_xlfn.LET(
    _xlpm.g_a, INDEX(Κανονικοποίηση!H$2:H$8, MATCH($A56, {"A";"B";"Γ";"Δ";"E";"Z";"H"}, 0)),
    _xlpm.g_b, INDEX(Κανονικοποίηση!H$2:H$8,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J56" s="25" cm="1">
        <f t="array" ref="J56">_xlfn.LET(
    _xlpm.g_a, INDEX(Κανονικοποίηση!I$2:I$8, MATCH($A56, {"A";"B";"Γ";"Δ";"E";"Z";"H"}, 0)),
    _xlpm.g_b, INDEX(Κανονικοποίηση!I$2:I$8,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K56" s="25" cm="1">
        <f t="array" ref="K56">_xlfn.LET(
    _xlpm.g_a, INDEX(Κανονικοποίηση!J$2:J$8, MATCH($A56, {"A";"B";"Γ";"Δ";"E";"Z";"H"}, 0)),
    _xlpm.g_b, INDEX(Κανονικοποίηση!J$2:J$8,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1</v>
      </c>
      <c r="L56" s="25" cm="1">
        <f t="array" ref="L56">_xlfn.LET(
    _xlpm.g_a, INDEX(Κανονικοποίηση!K$2:K$8, MATCH($A56, {"A";"B";"Γ";"Δ";"E";"Z";"H"}, 0)),
    _xlpm.g_b, INDEX(Κανονικοποίηση!K$2:K$8, MATCH($B56, {"A";"B";"Γ";"Δ";"E";"Z";"H"}, 0)),
    _xlpm.type, "Benefit",
    _xlpm.diff, IF(OR(COLUMN()=3, COLUMN()=8, COLUMN()=9), _xlpm.g_b - _xlpm.g_a, _xlpm.g_a - _xlpm.g_b),
    _xlpm.q, ELECTRE!$R42,
    _xlpm.p, ELECTRE!$S42,
    IF(_xlpm.diff &gt;= -_xlpm.q, 1, IF(_xlpm.diff &lt;= -_xlpm.p, 0, (_xlpm.diff + _xlpm.p) / (_xlpm.p - _xlpm.q)))
)</f>
        <v>0</v>
      </c>
      <c r="M56" s="25" cm="1">
        <f t="array" ref="M56">SUMPRODUCT(C56:L56, TRANSPOSE(Βάρη!$E$2:$E$11))</f>
        <v>0.9789000000000001</v>
      </c>
      <c r="N56" s="25" cm="1">
        <f t="array" ref="N56">SUMPRODUCT(C56:L56, TRANSPOSE(Βάρη!$C$2:$C$11))</f>
        <v>0.98181818181818181</v>
      </c>
      <c r="O56" s="25" cm="1">
        <f t="array" ref="O56">SUMPRODUCT(C56:L56, TRANSPOSE(Βάρη!$D$2:$D$11))</f>
        <v>0.96585828478525959</v>
      </c>
      <c r="P56" s="25" cm="1">
        <f t="array" ref="P56">SUMPRODUCT(C56:L56, TRANSPOSE(Βάρη!$F$2:$F$11))</f>
        <v>0.98181818181818192</v>
      </c>
      <c r="Q56" s="41" cm="1">
        <f t="array" ref="Q56">SUMPRODUCT(C56:L56, TRANSPOSE(Σύνοψη!$J$3:$J$12))</f>
        <v>3.6602464764590579</v>
      </c>
    </row>
    <row r="57" spans="1:17">
      <c r="A57" s="7" t="s">
        <v>17</v>
      </c>
      <c r="B57" s="7" t="s">
        <v>16</v>
      </c>
      <c r="C57" s="25" cm="1">
        <f t="array" ref="C57">_xlfn.LET(
    _xlpm.g_a, INDEX(Κανονικοποίηση!B$2:B$8, MATCH($A57, {"A";"B";"Γ";"Δ";"E";"Z";"H"}, 0)),
    _xlpm.g_b, INDEX(Κανονικοποίηση!B$2:B$8,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D57" s="25" cm="1">
        <f t="array" ref="D57">_xlfn.LET(
    _xlpm.g_a, INDEX(Κανονικοποίηση!C$2:C$8, MATCH($A57, {"A";"B";"Γ";"Δ";"E";"Z";"H"}, 0)),
    _xlpm.g_b, INDEX(Κανονικοποίηση!C$2:C$8,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E57" s="25" cm="1">
        <f t="array" ref="E57">_xlfn.LET(
    _xlpm.g_a, INDEX(Κανονικοποίηση!D$2:D$8, MATCH($A57, {"A";"B";"Γ";"Δ";"E";"Z";"H"}, 0)),
    _xlpm.g_b, INDEX(Κανονικοποίηση!D$2:D$8,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F57" s="25" cm="1">
        <f t="array" ref="F57">_xlfn.LET(
    _xlpm.g_a, INDEX(Κανονικοποίηση!E$2:E$8, MATCH($A57, {"A";"B";"Γ";"Δ";"E";"Z";"H"}, 0)),
    _xlpm.g_b, INDEX(Κανονικοποίηση!E$2:E$8,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G57" s="25" cm="1">
        <f t="array" ref="G57">_xlfn.LET(
    _xlpm.g_a, INDEX(Κανονικοποίηση!F$2:F$8, MATCH($A57, {"A";"B";"Γ";"Δ";"E";"Z";"H"}, 0)),
    _xlpm.g_b, INDEX(Κανονικοποίηση!F$2:F$8,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H57" s="25" cm="1">
        <f t="array" ref="H57">_xlfn.LET(
    _xlpm.g_a, INDEX(Κανονικοποίηση!G$2:G$8, MATCH($A57, {"A";"B";"Γ";"Δ";"E";"Z";"H"}, 0)),
    _xlpm.g_b, INDEX(Κανονικοποίηση!G$2:G$8,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I57" s="25" cm="1">
        <f t="array" ref="I57">_xlfn.LET(
    _xlpm.g_a, INDEX(Κανονικοποίηση!H$2:H$8, MATCH($A57, {"A";"B";"Γ";"Δ";"E";"Z";"H"}, 0)),
    _xlpm.g_b, INDEX(Κανονικοποίηση!H$2:H$8,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J57" s="25" cm="1">
        <f t="array" ref="J57">_xlfn.LET(
    _xlpm.g_a, INDEX(Κανονικοποίηση!I$2:I$8, MATCH($A57, {"A";"B";"Γ";"Δ";"E";"Z";"H"}, 0)),
    _xlpm.g_b, INDEX(Κανονικοποίηση!I$2:I$8,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K57" s="25" cm="1">
        <f t="array" ref="K57">_xlfn.LET(
    _xlpm.g_a, INDEX(Κανονικοποίηση!J$2:J$8, MATCH($A57, {"A";"B";"Γ";"Δ";"E";"Z";"H"}, 0)),
    _xlpm.g_b, INDEX(Κανονικοποίηση!J$2:J$8,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L57" s="25" cm="1">
        <f t="array" ref="L57">_xlfn.LET(
    _xlpm.g_a, INDEX(Κανονικοποίηση!K$2:K$8, MATCH($A57, {"A";"B";"Γ";"Δ";"E";"Z";"H"}, 0)),
    _xlpm.g_b, INDEX(Κανονικοποίηση!K$2:K$8, MATCH($B57, {"A";"B";"Γ";"Δ";"E";"Z";"H"}, 0)),
    _xlpm.type, "Benefit",
    _xlpm.diff, IF(OR(COLUMN()=3, COLUMN()=8, COLUMN()=9), _xlpm.g_b - _xlpm.g_a, _xlpm.g_a - _xlpm.g_b),
    _xlpm.q, ELECTRE!$R43,
    _xlpm.p, ELECTRE!$S43,
    IF(_xlpm.diff &gt;= -_xlpm.q, 1, IF(_xlpm.diff &lt;= -_xlpm.p, 0, (_xlpm.diff + _xlpm.p) / (_xlpm.p - _xlpm.q)))
)</f>
        <v>0</v>
      </c>
      <c r="M57" s="25" cm="1">
        <f t="array" ref="M57">SUMPRODUCT(C57:L57, TRANSPOSE(Βάρη!$E$2:$E$11))</f>
        <v>0</v>
      </c>
      <c r="N57" s="25" cm="1">
        <f t="array" ref="N57">SUMPRODUCT(C57:L57, TRANSPOSE(Βάρη!$C$2:$C$11))</f>
        <v>0</v>
      </c>
      <c r="O57" s="25" cm="1">
        <f t="array" ref="O57">SUMPRODUCT(C57:L57, TRANSPOSE(Βάρη!$D$2:$D$11))</f>
        <v>0</v>
      </c>
      <c r="P57" s="25" cm="1">
        <f t="array" ref="P57">SUMPRODUCT(C57:L57, TRANSPOSE(Βάρη!$F$2:$F$11))</f>
        <v>0</v>
      </c>
      <c r="Q57" s="41" cm="1">
        <f t="array" ref="Q57">SUMPRODUCT(C57:L57, TRANSPOSE(Σύνοψη!$J$3:$J$12))</f>
        <v>0</v>
      </c>
    </row>
    <row r="60" spans="1:17">
      <c r="A60" s="83" t="s">
        <v>124</v>
      </c>
      <c r="B60" s="86"/>
      <c r="C60" s="86"/>
      <c r="D60" s="86"/>
      <c r="E60" s="87"/>
      <c r="F60" s="44"/>
      <c r="G60" s="83" t="s">
        <v>125</v>
      </c>
      <c r="H60" s="86"/>
      <c r="I60" s="86"/>
      <c r="J60" s="86"/>
      <c r="K60" s="87"/>
    </row>
    <row r="61" spans="1:17">
      <c r="A61" s="46" t="s">
        <v>126</v>
      </c>
      <c r="B61" s="64" t="s">
        <v>127</v>
      </c>
      <c r="C61" s="46" t="s">
        <v>128</v>
      </c>
      <c r="D61" s="46" t="s">
        <v>129</v>
      </c>
      <c r="E61" s="46" t="s">
        <v>130</v>
      </c>
      <c r="F61" s="45"/>
      <c r="G61" s="46" t="s">
        <v>126</v>
      </c>
      <c r="H61" s="64" t="s">
        <v>127</v>
      </c>
      <c r="I61" s="46" t="s">
        <v>128</v>
      </c>
      <c r="J61" s="46" t="s">
        <v>129</v>
      </c>
      <c r="K61" s="46" t="s">
        <v>130</v>
      </c>
    </row>
    <row r="62" spans="1:17">
      <c r="A62" s="26" t="s">
        <v>11</v>
      </c>
      <c r="B62" s="25">
        <f>SUMIF($A$16:$A$57, "A", $M$16:$M$57)</f>
        <v>3.9799000000000007</v>
      </c>
      <c r="C62" s="43">
        <f>SUMIF($B$16:$B$57, "A", $M$16:$M$57)</f>
        <v>2.5843000000000003</v>
      </c>
      <c r="D62" s="25">
        <f>B62-C62</f>
        <v>1.3956000000000004</v>
      </c>
      <c r="E62" s="25">
        <f>RANK(D62, $D$62:$D$68, 0)</f>
        <v>3</v>
      </c>
      <c r="F62" s="45"/>
      <c r="G62" s="26" t="s">
        <v>11</v>
      </c>
      <c r="H62" s="25">
        <f>SUMIF($A$16:$A$57, "A", $P$16:$P$57)</f>
        <v>4.0545454545454547</v>
      </c>
      <c r="I62" s="43">
        <f>SUMIF($B$16:$B$57, "A", $P$16:$P$57)</f>
        <v>2.6181818181818182</v>
      </c>
      <c r="J62" s="25">
        <f>H62-I62</f>
        <v>1.4363636363636365</v>
      </c>
      <c r="K62" s="25">
        <f>RANK(J62, $J$62:$J$68, 0)</f>
        <v>3</v>
      </c>
    </row>
    <row r="63" spans="1:17">
      <c r="A63" s="26" t="s">
        <v>12</v>
      </c>
      <c r="B63" s="25">
        <f>SUMIF($A$16:$A$57, "B", $M$16:$M$57)</f>
        <v>2.9628000000000005</v>
      </c>
      <c r="C63" s="43">
        <f>SUMIF($B$16:$B$57, "B", $M$16:$M$57)</f>
        <v>3.6115999999999997</v>
      </c>
      <c r="D63" s="25">
        <f>B63-C63</f>
        <v>-0.64879999999999916</v>
      </c>
      <c r="E63" s="25">
        <f>RANK(D63, $D$62:$D$68, 0)</f>
        <v>4</v>
      </c>
      <c r="F63" s="45"/>
      <c r="G63" s="26" t="s">
        <v>12</v>
      </c>
      <c r="H63" s="25">
        <f>SUMIF($A$16:$A$57, "B", $P$16:$P$57)</f>
        <v>2.8909090909090911</v>
      </c>
      <c r="I63" s="43">
        <f>SUMIF($B$16:$B$57, "B", $P$16:$P$57)</f>
        <v>3.8363636363636364</v>
      </c>
      <c r="J63" s="25">
        <f>H63-I63</f>
        <v>-0.94545454545454533</v>
      </c>
      <c r="K63" s="25">
        <f t="shared" ref="K63:K68" si="0">RANK(J63, $J$62:$J$68, 0)</f>
        <v>5</v>
      </c>
    </row>
    <row r="64" spans="1:17">
      <c r="A64" s="26" t="s">
        <v>13</v>
      </c>
      <c r="B64" s="25">
        <f>SUMIF($A$16:$A$57, "Γ", $M$16:$M$57)</f>
        <v>2.9657</v>
      </c>
      <c r="C64" s="43">
        <f>SUMIF($B$16:$B$57, "Γ", $M$16:$M$57)</f>
        <v>3.6297000000000001</v>
      </c>
      <c r="D64" s="25">
        <f>B64-C64</f>
        <v>-0.66400000000000015</v>
      </c>
      <c r="E64" s="25">
        <f>RANK(D64, $D$62:$D$68, 0)</f>
        <v>5</v>
      </c>
      <c r="F64" s="45"/>
      <c r="G64" s="26" t="s">
        <v>13</v>
      </c>
      <c r="H64" s="25">
        <f>SUMIF($A$16:$A$57, "Γ", $P$16:$P$57)</f>
        <v>3.1818181818181817</v>
      </c>
      <c r="I64" s="43">
        <f>SUMIF($B$16:$B$57, "Γ", $P$16:$P$57)</f>
        <v>3.6363636363636367</v>
      </c>
      <c r="J64" s="25">
        <f>H64-I64</f>
        <v>-0.45454545454545503</v>
      </c>
      <c r="K64" s="25">
        <f t="shared" si="0"/>
        <v>4</v>
      </c>
    </row>
    <row r="65" spans="1:13">
      <c r="A65" s="26" t="s">
        <v>14</v>
      </c>
      <c r="B65" s="25">
        <f>SUMIF($A$16:$A$57, "Δ", $M$16:$M$57)</f>
        <v>5.8932000000000002</v>
      </c>
      <c r="C65" s="43">
        <f>SUMIF($B$16:$B$57, "Δ", $M$16:$M$57)</f>
        <v>0.29380000000000006</v>
      </c>
      <c r="D65" s="25">
        <f>B65-C65</f>
        <v>5.5994000000000002</v>
      </c>
      <c r="E65" s="25">
        <f>RANK(D65, $D$62:$D$68, 0)</f>
        <v>1</v>
      </c>
      <c r="F65" s="38"/>
      <c r="G65" s="26" t="s">
        <v>14</v>
      </c>
      <c r="H65" s="25">
        <f>SUMIF($A$16:$A$57, "Δ", $P$16:$P$57)</f>
        <v>5.709090909090909</v>
      </c>
      <c r="I65" s="43">
        <f>SUMIF($B$16:$B$57, "Δ", $P$16:$P$57)</f>
        <v>0.67272727272727273</v>
      </c>
      <c r="J65" s="25">
        <f>H65-I65</f>
        <v>5.0363636363636362</v>
      </c>
      <c r="K65" s="25">
        <f t="shared" si="0"/>
        <v>1</v>
      </c>
    </row>
    <row r="66" spans="1:13">
      <c r="A66" s="26" t="s">
        <v>15</v>
      </c>
      <c r="B66" s="25">
        <f>SUMIF($A$16:$A$57, "E", $M$16:$M$57)</f>
        <v>0.34429999999999999</v>
      </c>
      <c r="C66" s="43">
        <f>SUMIF($B$16:$B$57, "E", $M$16:$M$57)</f>
        <v>5.9789000000000003</v>
      </c>
      <c r="D66" s="25">
        <f>B66-C66</f>
        <v>-5.6346000000000007</v>
      </c>
      <c r="E66" s="25">
        <f>RANK(D66, $D$62:$D$68, 0)</f>
        <v>7</v>
      </c>
      <c r="F66" s="45"/>
      <c r="G66" s="26" t="s">
        <v>15</v>
      </c>
      <c r="H66" s="25">
        <f>SUMIF($A$16:$A$57, "E", $P$16:$P$57)</f>
        <v>0.67272727272727262</v>
      </c>
      <c r="I66" s="43">
        <f>SUMIF($B$16:$B$57, "E", $P$16:$P$57)</f>
        <v>5.9818181818181824</v>
      </c>
      <c r="J66" s="25">
        <f>H66-I66</f>
        <v>-5.3090909090909095</v>
      </c>
      <c r="K66" s="25">
        <f t="shared" si="0"/>
        <v>7</v>
      </c>
    </row>
    <row r="67" spans="1:13">
      <c r="A67" s="26" t="s">
        <v>16</v>
      </c>
      <c r="B67" s="25">
        <f>SUMIF($A$16:$A$57, "Z", $M$16:$M$57)</f>
        <v>5.1039000000000012</v>
      </c>
      <c r="C67" s="43">
        <f>SUMIF($B$16:$B$57, "Z", $M$16:$M$57)</f>
        <v>1.4785000000000001</v>
      </c>
      <c r="D67" s="25">
        <f>B67-C67</f>
        <v>3.6254000000000008</v>
      </c>
      <c r="E67" s="25">
        <f>RANK(D67, $D$62:$D$68, 0)</f>
        <v>2</v>
      </c>
      <c r="F67" s="45"/>
      <c r="G67" s="26" t="s">
        <v>16</v>
      </c>
      <c r="H67" s="25">
        <f>SUMIF($A$16:$A$57, "Z", $P$16:$P$57)</f>
        <v>5.2727272727272734</v>
      </c>
      <c r="I67" s="43">
        <f>SUMIF($B$16:$B$57, "Z", $P$16:$P$57)</f>
        <v>1.490909090909091</v>
      </c>
      <c r="J67" s="25">
        <f>H67-I67</f>
        <v>3.7818181818181822</v>
      </c>
      <c r="K67" s="25">
        <f t="shared" si="0"/>
        <v>2</v>
      </c>
    </row>
    <row r="68" spans="1:13">
      <c r="A68" s="26" t="s">
        <v>17</v>
      </c>
      <c r="B68" s="25">
        <f>SUMIF($A$16:$A$57, "H", $M$16:$M$57)</f>
        <v>1.427</v>
      </c>
      <c r="C68" s="43">
        <f>SUMIF($B$16:$B$57, "H", $M$16:$M$57)</f>
        <v>5.1000000000000005</v>
      </c>
      <c r="D68" s="25">
        <f>B68-C68</f>
        <v>-3.6730000000000005</v>
      </c>
      <c r="E68" s="25">
        <f>RANK(D68, $D$62:$D$68, 0)</f>
        <v>6</v>
      </c>
      <c r="G68" s="26" t="s">
        <v>17</v>
      </c>
      <c r="H68" s="25">
        <f>SUMIF($A$16:$A$57, "H", $P$16:$P$57)</f>
        <v>1.6363636363636365</v>
      </c>
      <c r="I68" s="43">
        <f>SUMIF($B$16:$B$57, "H", $P$16:$P$57)</f>
        <v>5.1818181818181817</v>
      </c>
      <c r="J68" s="25">
        <f>H68-I68</f>
        <v>-3.545454545454545</v>
      </c>
      <c r="K68" s="25">
        <f t="shared" si="0"/>
        <v>6</v>
      </c>
    </row>
    <row r="70" spans="1:13">
      <c r="A70" s="83" t="s">
        <v>131</v>
      </c>
      <c r="B70" s="86"/>
      <c r="C70" s="86"/>
      <c r="D70" s="86"/>
      <c r="E70" s="87"/>
      <c r="G70" s="83" t="s">
        <v>132</v>
      </c>
      <c r="H70" s="86"/>
      <c r="I70" s="86"/>
      <c r="J70" s="86"/>
      <c r="K70" s="87"/>
    </row>
    <row r="71" spans="1:13">
      <c r="A71" s="46" t="s">
        <v>126</v>
      </c>
      <c r="B71" s="46" t="s">
        <v>127</v>
      </c>
      <c r="C71" s="46" t="s">
        <v>128</v>
      </c>
      <c r="D71" s="46" t="s">
        <v>129</v>
      </c>
      <c r="E71" s="46" t="s">
        <v>130</v>
      </c>
      <c r="G71" s="46" t="s">
        <v>126</v>
      </c>
      <c r="H71" s="64" t="s">
        <v>127</v>
      </c>
      <c r="I71" s="46" t="s">
        <v>128</v>
      </c>
      <c r="J71" s="46" t="s">
        <v>129</v>
      </c>
      <c r="K71" s="46" t="s">
        <v>130</v>
      </c>
    </row>
    <row r="72" spans="1:13">
      <c r="A72" s="26" t="s">
        <v>11</v>
      </c>
      <c r="B72" s="25">
        <f>SUMIF($A$16:$A$57, "A", $N$16:$N$57)</f>
        <v>4.0181818181818176</v>
      </c>
      <c r="C72" s="43">
        <f>SUMIF($B$16:$B$57, "A", $N$16:$N$57)</f>
        <v>2.6545454545454543</v>
      </c>
      <c r="D72" s="25">
        <f>B72-C72</f>
        <v>1.3636363636363633</v>
      </c>
      <c r="E72" s="25">
        <f>RANK(D72, $D$72:$D$78, 0)</f>
        <v>3</v>
      </c>
      <c r="G72" s="26" t="s">
        <v>11</v>
      </c>
      <c r="H72" s="25">
        <f>SUMIF($A$16:$A$57, "A", $Q$16:$Q$57)</f>
        <v>14.693972485067331</v>
      </c>
      <c r="I72" s="43">
        <f>SUMIF($B$16:$B$57, "A", $Q$16:$Q$57)</f>
        <v>9.5760838310924594</v>
      </c>
      <c r="J72" s="25">
        <f>H72-I72</f>
        <v>5.1178886539748714</v>
      </c>
      <c r="K72" s="25">
        <f>RANK(J72, $J$72:$J$78, 0)</f>
        <v>3</v>
      </c>
    </row>
    <row r="73" spans="1:13">
      <c r="A73" s="26" t="s">
        <v>12</v>
      </c>
      <c r="B73" s="25">
        <f>SUMIF($A$16:$A$57, "B", $N$16:$N$57)</f>
        <v>3.0545454545454542</v>
      </c>
      <c r="C73" s="43">
        <f>SUMIF($B$16:$B$57, "B", $N$16:$N$57)</f>
        <v>3.6909090909090909</v>
      </c>
      <c r="D73" s="25">
        <f>B73-C73</f>
        <v>-0.63636363636363669</v>
      </c>
      <c r="E73" s="25">
        <f t="shared" ref="E73:E78" si="1">RANK(D73, $D$72:$D$78, 0)</f>
        <v>5</v>
      </c>
      <c r="G73" s="26" t="s">
        <v>12</v>
      </c>
      <c r="H73" s="25">
        <f>SUMIF($A$16:$A$57, "B", $Q$16:$Q$57)</f>
        <v>10.28680006816427</v>
      </c>
      <c r="I73" s="43">
        <f>SUMIF($B$16:$B$57, "B", $Q$16:$Q$57)</f>
        <v>14.418615602414611</v>
      </c>
      <c r="J73" s="25">
        <f>H73-I73</f>
        <v>-4.1318155342503413</v>
      </c>
      <c r="K73" s="25">
        <f>RANK(J73, $J$72:$J$78, 0)</f>
        <v>5</v>
      </c>
    </row>
    <row r="74" spans="1:13">
      <c r="A74" s="26" t="s">
        <v>13</v>
      </c>
      <c r="B74" s="25">
        <f>SUMIF($A$16:$A$57, "Γ", $N$16:$N$57)</f>
        <v>3.0909090909090908</v>
      </c>
      <c r="C74" s="43">
        <f>SUMIF($B$16:$B$57, "Γ", $N$16:$N$57)</f>
        <v>3.6363636363636367</v>
      </c>
      <c r="D74" s="25">
        <f>B74-C74</f>
        <v>-0.54545454545454586</v>
      </c>
      <c r="E74" s="25">
        <f t="shared" si="1"/>
        <v>4</v>
      </c>
      <c r="G74" s="26" t="s">
        <v>13</v>
      </c>
      <c r="H74" s="25">
        <f>SUMIF($A$16:$A$57, "Γ", $Q$16:$Q$57)</f>
        <v>11.478852614694389</v>
      </c>
      <c r="I74" s="43">
        <f>SUMIF($B$16:$B$57, "Γ", $Q$16:$Q$57)</f>
        <v>13.708747800501889</v>
      </c>
      <c r="J74" s="25">
        <f>H74-I74</f>
        <v>-2.2298951858075</v>
      </c>
      <c r="K74" s="25">
        <f>RANK(J74, $J$72:$J$78, 0)</f>
        <v>4</v>
      </c>
    </row>
    <row r="75" spans="1:13">
      <c r="A75" s="26" t="s">
        <v>14</v>
      </c>
      <c r="B75" s="25">
        <f>SUMIF($A$16:$A$57, "Δ", $N$16:$N$57)</f>
        <v>5.7454545454545451</v>
      </c>
      <c r="C75" s="43">
        <f>SUMIF($B$16:$B$57, "Δ", $N$16:$N$57)</f>
        <v>0.54545454545454541</v>
      </c>
      <c r="D75" s="25">
        <f>B75-C75</f>
        <v>5.1999999999999993</v>
      </c>
      <c r="E75" s="25">
        <f t="shared" si="1"/>
        <v>1</v>
      </c>
      <c r="G75" s="26" t="s">
        <v>14</v>
      </c>
      <c r="H75" s="25">
        <f>SUMIF($A$16:$A$57, "Δ", $Q$16:$Q$57)</f>
        <v>21.104294518644039</v>
      </c>
      <c r="I75" s="43">
        <f>SUMIF($B$16:$B$57, "Δ", $Q$16:$Q$57)</f>
        <v>2.2380524057788476</v>
      </c>
      <c r="J75" s="25">
        <f>H75-I75</f>
        <v>18.866242112865191</v>
      </c>
      <c r="K75" s="25">
        <f t="shared" ref="K73:K78" si="2">RANK(J75, $J$72:$J$78, 0)</f>
        <v>1</v>
      </c>
    </row>
    <row r="76" spans="1:13">
      <c r="A76" s="26" t="s">
        <v>15</v>
      </c>
      <c r="B76" s="25">
        <f>SUMIF($A$16:$A$57, "E", $N$16:$N$57)</f>
        <v>0.49090909090909091</v>
      </c>
      <c r="C76" s="43">
        <f>SUMIF($B$16:$B$57, "E", $N$16:$N$57)</f>
        <v>5.9818181818181815</v>
      </c>
      <c r="D76" s="25">
        <f>B76-C76</f>
        <v>-5.4909090909090903</v>
      </c>
      <c r="E76" s="25">
        <f t="shared" si="1"/>
        <v>7</v>
      </c>
      <c r="G76" s="26" t="s">
        <v>15</v>
      </c>
      <c r="H76" s="25">
        <f>SUMIF($A$16:$A$57, "E", $Q$16:$Q$57)</f>
        <v>2.8214898949321152</v>
      </c>
      <c r="I76" s="43">
        <f>SUMIF($B$16:$B$57, "E", $Q$16:$Q$57)</f>
        <v>21.961478858754347</v>
      </c>
      <c r="J76" s="25">
        <f>H76-I76</f>
        <v>-19.139988963822233</v>
      </c>
      <c r="K76" s="25">
        <f t="shared" si="2"/>
        <v>7</v>
      </c>
    </row>
    <row r="77" spans="1:13">
      <c r="A77" s="26" t="s">
        <v>16</v>
      </c>
      <c r="B77" s="25">
        <f>SUMIF($A$16:$A$57, "Z", $N$16:$N$57)</f>
        <v>5.1818181818181817</v>
      </c>
      <c r="C77" s="43">
        <f>SUMIF($B$16:$B$57, "Z", $N$16:$N$57)</f>
        <v>1.5272727272727273</v>
      </c>
      <c r="D77" s="25">
        <f>B77-C77</f>
        <v>3.6545454545454543</v>
      </c>
      <c r="E77" s="25">
        <f t="shared" si="1"/>
        <v>2</v>
      </c>
      <c r="G77" s="26" t="s">
        <v>16</v>
      </c>
      <c r="H77" s="25">
        <f>SUMIF($A$16:$A$57, "Z", $Q$16:$Q$57)</f>
        <v>19.741854211558866</v>
      </c>
      <c r="I77" s="43">
        <f>SUMIF($B$16:$B$57, "Z", $Q$16:$Q$57)</f>
        <v>5.4103532542655923</v>
      </c>
      <c r="J77" s="25">
        <f>H77-I77</f>
        <v>14.331500957293274</v>
      </c>
      <c r="K77" s="25">
        <f t="shared" si="2"/>
        <v>2</v>
      </c>
      <c r="L77" s="39"/>
      <c r="M77" s="39"/>
    </row>
    <row r="78" spans="1:13">
      <c r="A78" s="26" t="s">
        <v>17</v>
      </c>
      <c r="B78" s="25">
        <f>SUMIF($A$16:$A$57, "H", $N$16:$N$57)</f>
        <v>1.581818181818182</v>
      </c>
      <c r="C78" s="43">
        <f>SUMIF($B$16:$B$57, "H", $N$16:$N$57)</f>
        <v>5.127272727272727</v>
      </c>
      <c r="D78" s="25">
        <f>B78-C78</f>
        <v>-3.545454545454545</v>
      </c>
      <c r="E78" s="25">
        <f t="shared" si="1"/>
        <v>6</v>
      </c>
      <c r="G78" s="26" t="s">
        <v>17</v>
      </c>
      <c r="H78" s="25">
        <f>SUMIF($A$16:$A$57, "H", $Q$16:$Q$57)</f>
        <v>6.0707378311952951</v>
      </c>
      <c r="I78" s="43">
        <f>SUMIF($B$16:$B$57, "H", $Q$16:$Q$57)</f>
        <v>18.884669871448558</v>
      </c>
      <c r="J78" s="25">
        <f>H78-I78</f>
        <v>-12.813932040253263</v>
      </c>
      <c r="K78" s="25">
        <f t="shared" si="2"/>
        <v>6</v>
      </c>
      <c r="L78" s="42"/>
      <c r="M78" s="42"/>
    </row>
    <row r="79" spans="1:13">
      <c r="H79" s="39"/>
      <c r="I79" s="38"/>
      <c r="J79" s="42"/>
      <c r="K79" s="42"/>
      <c r="L79" s="42"/>
      <c r="M79" s="38"/>
    </row>
    <row r="80" spans="1:13">
      <c r="A80" s="83" t="s">
        <v>133</v>
      </c>
      <c r="B80" s="86"/>
      <c r="C80" s="86"/>
      <c r="D80" s="86"/>
      <c r="E80" s="87"/>
      <c r="H80" s="39"/>
      <c r="I80" s="38"/>
      <c r="J80" s="42"/>
      <c r="K80" s="42"/>
      <c r="L80" s="42"/>
      <c r="M80" s="38"/>
    </row>
    <row r="81" spans="1:13">
      <c r="A81" s="46" t="s">
        <v>126</v>
      </c>
      <c r="B81" s="64" t="s">
        <v>127</v>
      </c>
      <c r="C81" s="46" t="s">
        <v>128</v>
      </c>
      <c r="D81" s="46" t="s">
        <v>129</v>
      </c>
      <c r="E81" s="46" t="s">
        <v>130</v>
      </c>
      <c r="H81" s="39"/>
      <c r="I81" s="38"/>
      <c r="J81" s="42"/>
      <c r="K81" s="42"/>
      <c r="L81" s="42"/>
      <c r="M81" s="38"/>
    </row>
    <row r="82" spans="1:13">
      <c r="A82" s="47" t="s">
        <v>11</v>
      </c>
      <c r="B82" s="25">
        <f>SUMIF($A$16:$A$57, "A", $O$16:$O$57)</f>
        <v>4.0218127624983069</v>
      </c>
      <c r="C82" s="43">
        <f>SUMIF($B$16:$B$57, "A", $O$16:$O$57)</f>
        <v>2.4447906787698144</v>
      </c>
      <c r="D82" s="25">
        <f>B82-C82</f>
        <v>1.5770220837284925</v>
      </c>
      <c r="E82" s="25">
        <f>RANK(D82, $D$82:$D$88, 0)</f>
        <v>3</v>
      </c>
      <c r="H82" s="39"/>
      <c r="I82" s="38"/>
      <c r="J82" s="42"/>
      <c r="K82" s="42"/>
      <c r="L82" s="42"/>
      <c r="M82" s="38"/>
    </row>
    <row r="83" spans="1:13">
      <c r="A83" s="47" t="s">
        <v>12</v>
      </c>
      <c r="B83" s="25">
        <f>SUMIF($A$16:$A$57, "B", $O$16:$O$57)</f>
        <v>3.0132773336946221</v>
      </c>
      <c r="C83" s="43">
        <f>SUMIF($B$16:$B$57, "B", $O$16:$O$57)</f>
        <v>3.5054870613737981</v>
      </c>
      <c r="D83" s="25">
        <f>B83-C83</f>
        <v>-0.49220972767917592</v>
      </c>
      <c r="E83" s="25">
        <f t="shared" ref="E83:E88" si="3">RANK(D83, $D$82:$D$88, 0)</f>
        <v>4</v>
      </c>
      <c r="H83" s="39"/>
      <c r="I83" s="38"/>
      <c r="J83" s="42"/>
      <c r="K83" s="42"/>
      <c r="L83" s="42"/>
      <c r="M83" s="38"/>
    </row>
    <row r="84" spans="1:13">
      <c r="A84" s="47" t="s">
        <v>13</v>
      </c>
      <c r="B84" s="25">
        <f>SUMIF($A$16:$A$57, "Γ", $O$16:$O$57)</f>
        <v>2.8886329765614422</v>
      </c>
      <c r="C84" s="43">
        <f>SUMIF($B$16:$B$57, "Γ", $O$16:$O$57)</f>
        <v>3.618615363771847</v>
      </c>
      <c r="D84" s="25">
        <f>B84-C84</f>
        <v>-0.72998238721040476</v>
      </c>
      <c r="E84" s="25">
        <f t="shared" si="3"/>
        <v>5</v>
      </c>
      <c r="H84" s="39"/>
      <c r="I84" s="38"/>
      <c r="J84" s="42"/>
      <c r="K84" s="42"/>
      <c r="L84" s="42"/>
      <c r="M84" s="38"/>
    </row>
    <row r="85" spans="1:13">
      <c r="A85" s="47" t="s">
        <v>14</v>
      </c>
      <c r="B85" s="25">
        <f>SUMIF($A$16:$A$57, "Δ", $O$16:$O$57)</f>
        <v>5.7629047554531905</v>
      </c>
      <c r="C85" s="43">
        <f>SUMIF($B$16:$B$57, "Δ", $O$16:$O$57)</f>
        <v>0.43761007993496814</v>
      </c>
      <c r="D85" s="25">
        <f>B85-C85</f>
        <v>5.3252946755182222</v>
      </c>
      <c r="E85" s="25">
        <f t="shared" si="3"/>
        <v>1</v>
      </c>
    </row>
    <row r="86" spans="1:13">
      <c r="A86" s="47" t="s">
        <v>15</v>
      </c>
      <c r="B86" s="25">
        <f>SUMIF($A$16:$A$57, "E", $O$16:$O$57)</f>
        <v>0.34507519306327056</v>
      </c>
      <c r="C86" s="43">
        <f>SUMIF($B$16:$B$57, "E", $O$16:$O$57)</f>
        <v>5.9658582847852601</v>
      </c>
      <c r="D86" s="25">
        <f>B86-C86</f>
        <v>-5.6207830917219894</v>
      </c>
      <c r="E86" s="25">
        <f t="shared" si="3"/>
        <v>7</v>
      </c>
    </row>
    <row r="87" spans="1:13">
      <c r="A87" s="47" t="s">
        <v>16</v>
      </c>
      <c r="B87" s="25">
        <f>SUMIF($A$16:$A$57, "Z", $O$16:$O$57)</f>
        <v>5.0800704511583801</v>
      </c>
      <c r="C87" s="43">
        <f>SUMIF($B$16:$B$57, "Z", $O$16:$O$57)</f>
        <v>1.4334101070315677</v>
      </c>
      <c r="D87" s="25">
        <f>B87-C87</f>
        <v>3.6466603441268122</v>
      </c>
      <c r="E87" s="25">
        <f t="shared" si="3"/>
        <v>2</v>
      </c>
    </row>
    <row r="88" spans="1:13">
      <c r="A88" s="47" t="s">
        <v>17</v>
      </c>
      <c r="B88" s="25">
        <f>SUMIF($A$16:$A$57, "H", $O$16:$O$57)</f>
        <v>1.3911394120037937</v>
      </c>
      <c r="C88" s="43">
        <f>SUMIF($B$16:$B$57, "H", $O$16:$O$57)</f>
        <v>5.0971413087657504</v>
      </c>
      <c r="D88" s="25">
        <f>B88-C88</f>
        <v>-3.7060018967619568</v>
      </c>
      <c r="E88" s="25">
        <f t="shared" si="3"/>
        <v>6</v>
      </c>
    </row>
  </sheetData>
  <mergeCells count="5">
    <mergeCell ref="A60:E60"/>
    <mergeCell ref="G60:K60"/>
    <mergeCell ref="A70:E70"/>
    <mergeCell ref="G70:K70"/>
    <mergeCell ref="A80:E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ΘΩΜΑΣ ΝΙΚΟΛΑΟΣ</cp:lastModifiedBy>
  <cp:revision/>
  <dcterms:created xsi:type="dcterms:W3CDTF">2026-02-05T11:45:32Z</dcterms:created>
  <dcterms:modified xsi:type="dcterms:W3CDTF">2026-02-19T08:15:14Z</dcterms:modified>
  <cp:category/>
  <cp:contentStatus/>
</cp:coreProperties>
</file>